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winds/Downloads/"/>
    </mc:Choice>
  </mc:AlternateContent>
  <xr:revisionPtr revIDLastSave="0" documentId="13_ncr:1_{BE42FB23-9B60-454D-BA96-6883946AB4FF}" xr6:coauthVersionLast="47" xr6:coauthVersionMax="47" xr10:uidLastSave="{00000000-0000-0000-0000-000000000000}"/>
  <bookViews>
    <workbookView xWindow="0" yWindow="660" windowWidth="29400" windowHeight="16760" xr2:uid="{00000000-000D-0000-FFFF-FFFF00000000}"/>
  </bookViews>
  <sheets>
    <sheet name="一覧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xlfnodf_SKEWP">#REF!</definedName>
    <definedName name="_1a1_">#REF!</definedName>
    <definedName name="_ctb１">'[1]現行DB一覧2(CT)'!$A$2:$E$220</definedName>
    <definedName name="_DAY01">#REF!</definedName>
    <definedName name="_DAY02">#REF!</definedName>
    <definedName name="_DAY03">#REF!</definedName>
    <definedName name="_DAY04">#REF!</definedName>
    <definedName name="_DAY05">#REF!</definedName>
    <definedName name="_DAY06">#REF!</definedName>
    <definedName name="_DAY07">#REF!</definedName>
    <definedName name="_DAY08">#REF!</definedName>
    <definedName name="_DAY09">#REF!</definedName>
    <definedName name="_DAY10">#REF!</definedName>
    <definedName name="_DAY11">#REF!</definedName>
    <definedName name="_DAY12">#REF!</definedName>
    <definedName name="_DAY13">#REF!</definedName>
    <definedName name="_DAY14">#REF!</definedName>
    <definedName name="_DAY15">#REF!</definedName>
    <definedName name="_DAY16">#REF!</definedName>
    <definedName name="_xlnm._FilterDatabase" hidden="1">#REF!</definedName>
    <definedName name="a">#REF!</definedName>
    <definedName name="aa" hidden="1">{"月例報告",#N/A,FALSE,"STB"}</definedName>
    <definedName name="AccessDatabase" hidden="1">"C:\Documents and Settings\kawana.OHSAKI\My Documents\作業中\ＤＢらいぶらり.mdb"</definedName>
    <definedName name="b">#REF!</definedName>
    <definedName name="Contact01">#REF!</definedName>
    <definedName name="CTLGP">#REF!</definedName>
    <definedName name="d">[2]TB!$B$2:$B$52</definedName>
    <definedName name="DB">OFFSET([3]名称M!$S$2,0,0,COUNTA([3]名称M!$S$1:$S$65536),1)</definedName>
    <definedName name="e">#REF!</definedName>
    <definedName name="EJBラインテスト件数">[4]ＰＴ障害状況!#REF!</definedName>
    <definedName name="EJBラインバグ件数">[4]ＰＴ障害状況!#REF!</definedName>
    <definedName name="Excel_BuiltIn_Print_Area_1">#REF!</definedName>
    <definedName name="f">#REF!</definedName>
    <definedName name="g">#REF!</definedName>
    <definedName name="Google_Sheet_Link_5948851_1698792201" hidden="1">Print_Titles_0</definedName>
    <definedName name="Google_Sheet_Link_625822760_398803873" hidden="1">#N/A</definedName>
    <definedName name="Google_Sheet_Link_799954965_1698792201" hidden="1">Print_Titles_0_0</definedName>
    <definedName name="h">#REF!</definedName>
    <definedName name="HardRate">#N/A</definedName>
    <definedName name="HHhaha">#REF!</definedName>
    <definedName name="i">#REF!</definedName>
    <definedName name="j">#REF!</definedName>
    <definedName name="ｊｈｋｊｈｋｊｈ">#REF!</definedName>
    <definedName name="ｊｊｊ">[4]ＰＴ障害状況!#REF!</definedName>
    <definedName name="k">#REF!</definedName>
    <definedName name="㎏">#REF!</definedName>
    <definedName name="ｋｋ">#REF!</definedName>
    <definedName name="l">#REF!</definedName>
    <definedName name="Language">[5]リスト!$G$3:$G$6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>#REF!</definedName>
    <definedName name="n">#REF!</definedName>
    <definedName name="nationality">[5]リスト!$B$3:$B$5</definedName>
    <definedName name="Normal_Fee">#N/A</definedName>
    <definedName name="o">#REF!</definedName>
    <definedName name="OffShore_Fee">#N/A</definedName>
    <definedName name="OS">OFFSET([3]名称M!$N$2,0,0,COUNTA([3]名称M!$N$1:$N$65536),1)</definedName>
    <definedName name="PA">#REF!</definedName>
    <definedName name="pc">"グループ 260"</definedName>
    <definedName name="_xlnm.Print_Area">#REF!</definedName>
    <definedName name="print_area1">#REF!</definedName>
    <definedName name="_xlnm.Print_Titles" localSheetId="0">一覧!$1:$1</definedName>
    <definedName name="s">#REF!</definedName>
    <definedName name="SD_MM_PP">#REF!</definedName>
    <definedName name="Sex">[5]リスト!$C$3:$C$4</definedName>
    <definedName name="Skill">[5]リスト!$E$3:$E$10</definedName>
    <definedName name="SoftRate">#N/A</definedName>
    <definedName name="SubSySID">#REF!</definedName>
    <definedName name="TODAY">#REF!</definedName>
    <definedName name="UI" hidden="1">{"月例報告",#N/A,FALSE,"STB"}</definedName>
    <definedName name="w" hidden="1">{"月例報告",#N/A,FALSE,"STB"}</definedName>
    <definedName name="wrn.月例報告." hidden="1">{"月例報告",#N/A,FALSE,"STB"}</definedName>
    <definedName name="Ｘ">#REF!</definedName>
    <definedName name="あ">#REF!</definedName>
    <definedName name="あＺ">#REF!</definedName>
    <definedName name="ありがとうございます。">#REF!</definedName>
    <definedName name="えええ">[4]ＰＴ障害状況!#REF!</definedName>
    <definedName name="お">#REF!</definedName>
    <definedName name="オウ" hidden="1">#N/A</definedName>
    <definedName name="お客">#REF!</definedName>
    <definedName name="お客様">#REF!</definedName>
    <definedName name="お客様に送る">#REF!</definedName>
    <definedName name="サブシステムＩＤ">[6]参照!$C$6:$C$8</definedName>
    <definedName name="サブシステム名">[6]参照!$D$6:$D$8</definedName>
    <definedName name="サブシステム選択">[7]プロセス!$D$2</definedName>
    <definedName name="さん">#REF!</definedName>
    <definedName name="ソート方向">#REF!</definedName>
    <definedName name="ドキュメントページ数">#REF!</definedName>
    <definedName name="ドキュメント名">#REF!</definedName>
    <definedName name="ドキュメント名リスト範囲">[7]コード表!$K$2</definedName>
    <definedName name="プロジェクト名">#REF!</definedName>
    <definedName name="プロセス範囲">[7]プロセス!$J$3:$L$3</definedName>
    <definedName name="マスタ情報_プロジェクト名_選択肢">[7]!マスタ情報_プロジェクトリスト_テーブル[プロジェクト名]</definedName>
    <definedName name="メーカ">OFFSET([3]名称M!$P$2,0,0,COUNTA([3]名称M!$P$1:$P$65536),1)</definedName>
    <definedName name="レビュー回数">#REF!</definedName>
    <definedName name="レビュー工数">#REF!</definedName>
    <definedName name="レビュー所感">#REF!</definedName>
    <definedName name="レビュー承認日">#REF!</definedName>
    <definedName name="レビュー承認者">#REF!</definedName>
    <definedName name="レビュー種類">#REF!</definedName>
    <definedName name="レビュー種類リスト範囲">[7]コード表!$M$2</definedName>
    <definedName name="レビュア①名前">#REF!</definedName>
    <definedName name="レビュア②名前">#REF!</definedName>
    <definedName name="レビュア③名前">#REF!</definedName>
    <definedName name="レビュア④名前">#REF!</definedName>
    <definedName name="レビュア⑤名前">#REF!</definedName>
    <definedName name="レビュア人数">#REF!</definedName>
    <definedName name="中分類リスト">#REF!</definedName>
    <definedName name="主管部署ＩＤ">[6]参照!#REF!</definedName>
    <definedName name="主管部署名">[6]参照!#REF!</definedName>
    <definedName name="作成頻度リスト">#REF!</definedName>
    <definedName name="修正完了件数">#REF!</definedName>
    <definedName name="修正確認件数">#REF!</definedName>
    <definedName name="再レビュー予定日">#REF!</definedName>
    <definedName name="再レビュー要否">#REF!</definedName>
    <definedName name="最終修正予定日">#REF!</definedName>
    <definedName name="最終修正完了日">#REF!</definedName>
    <definedName name="最終修正確認日">#REF!</definedName>
    <definedName name="単体価格">#REF!</definedName>
    <definedName name="単体価格広島">#REF!</definedName>
    <definedName name="単体価格福岡">#REF!</definedName>
    <definedName name="受託">[11]TB!$B$2:$B$52</definedName>
    <definedName name="受託１">[2]TB!$B$2:$B$52</definedName>
    <definedName name="大分類リスト">#REF!</definedName>
    <definedName name="対象工程">#REF!</definedName>
    <definedName name="属性">[12]参照!$C$27:$C$39</definedName>
    <definedName name="工程リスト範囲">[7]コード表!$C$2</definedName>
    <definedName name="形態">OFFSET([3]名称M!$H$2,0,0,COUNTA([3]名称M!$H$1:$H$65536),1)</definedName>
    <definedName name="役割">[9]work!$B$2:$B$8</definedName>
    <definedName name="所属略称リスト範囲">[7]コード表!$G$2</definedName>
    <definedName name="所要時間">#REF!</definedName>
    <definedName name="担当会社名">#REF!</definedName>
    <definedName name="担当者名">#REF!</definedName>
    <definedName name="担当者名リスト範囲">[10]コード表!$I$2</definedName>
    <definedName name="指摘一覧_最終行">#REF!</definedName>
    <definedName name="指摘件数">#REF!</definedName>
    <definedName name="指摘区分">[7]指摘分類!$B$5:$B$15</definedName>
    <definedName name="書記_名前">#REF!</definedName>
    <definedName name="検索件数">#REF!</definedName>
    <definedName name="業務プロセス範囲">[7]プロセス!$F$3:$H$3</definedName>
    <definedName name="業務名１">OFFSET([3]名称M!$D$2,0,0,COUNTA([3]名称M!$D$1:$D$65536),1)</definedName>
    <definedName name="業種">[9]work!$A$2:$A$7</definedName>
    <definedName name="業種名１">OFFSET([3]名称M!$B$2,0,0,COUNTA([3]名称M!$B$1:$B$65536),1)</definedName>
    <definedName name="機能">[8]Sheet2!$A$1:$A$4</definedName>
    <definedName name="機能中分類">#REF!</definedName>
    <definedName name="機能大分類">#REF!</definedName>
    <definedName name="機能小分類">#REF!</definedName>
    <definedName name="画面ラインテスト件数">[4]ＰＴ障害状況!#REF!</definedName>
    <definedName name="画面ラインバグ件数">[4]ＰＴ障害状況!#REF!</definedName>
    <definedName name="管理単位_サブシステム">[7]設定シート!$D$2</definedName>
    <definedName name="管理単位_管理単位１">[7]設定シート!$E$2</definedName>
    <definedName name="管理単位_管理単位２">[7]設定シート!$F$2</definedName>
    <definedName name="管理番号">#REF!</definedName>
    <definedName name="簿価残災対">#REF!</definedName>
    <definedName name="終わり">#REF!</definedName>
    <definedName name="終了時刻">#REF!</definedName>
    <definedName name="職種">OFFSET([3]名称M!$F$2,0,0,COUNTA([3]名称M!$F$1:$F$65536),1)</definedName>
    <definedName name="行区分_無効">[10]レビュー票!$BA$17</definedName>
    <definedName name="被レビュア①名前">#REF!</definedName>
    <definedName name="被レビュア②名前">#REF!</definedName>
    <definedName name="被レビュア③名前">#REF!</definedName>
    <definedName name="被レビュア④名前">#REF!</definedName>
    <definedName name="被レビュア⑤名前">#REF!</definedName>
    <definedName name="被レビュア人数">#REF!</definedName>
    <definedName name="言語">OFFSET([3]名称M!$L$2,0,0,COUNTA([3]名称M!$L$1:$L$65536),1)</definedName>
    <definedName name="設計状態リスト">#REF!</definedName>
    <definedName name="選択">#REF!</definedName>
    <definedName name="開催場所">#REF!</definedName>
    <definedName name="開催日">#REF!</definedName>
    <definedName name="開始時刻">#REF!</definedName>
    <definedName name="関数">#REF!</definedName>
    <definedName name="顧客名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2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<sst xmlns="http://schemas.openxmlformats.org/spreadsheetml/2006/main" count="127" uniqueCount="73">
  <si>
    <t>No</t>
  </si>
  <si>
    <t>募集人数</t>
  </si>
  <si>
    <t>出社</t>
  </si>
  <si>
    <t>原則オンサイト（山手線沿線）</t>
  </si>
  <si>
    <t>案件</t>
    <rPh sb="0" eb="2">
      <t>アンケン</t>
    </rPh>
    <phoneticPr fontId="3"/>
  </si>
  <si>
    <t>Fioriの環境統合に伴う対応要員</t>
    <phoneticPr fontId="3"/>
  </si>
  <si>
    <t>保守対応中案件</t>
    <phoneticPr fontId="3"/>
  </si>
  <si>
    <t xml:space="preserve">Fioriでの権限設定、タイル設定の経験(カタログ設定画面等が迷わず操作できること)
Fioriで管理するオブジェクトの知識(タイルの仕組みが最低限把握できていること)
SAP権限対応経験者
　　作業： ①Fiori統合に伴うS/4環境への移管実作業
　　　　　②その他EoL作業（WebGui実装作業（切り替えによる変化点対応））
</t>
    <phoneticPr fontId="3"/>
  </si>
  <si>
    <t>7月</t>
    <phoneticPr fontId="3"/>
  </si>
  <si>
    <t>1名</t>
    <phoneticPr fontId="3"/>
  </si>
  <si>
    <t>SAP刷新案件</t>
    <phoneticPr fontId="3"/>
  </si>
  <si>
    <t>S/4HANA導入中案件の顧客側支援・運用保守（FI領域）</t>
    <phoneticPr fontId="3"/>
  </si>
  <si>
    <t>FIコンサル（ミドル、ジュニアクラス）</t>
    <phoneticPr fontId="3"/>
  </si>
  <si>
    <t>原則オンサイト（山手線の品川近辺の駅）</t>
    <phoneticPr fontId="3"/>
  </si>
  <si>
    <t>都内（週1出社）</t>
    <phoneticPr fontId="3"/>
  </si>
  <si>
    <t>2名</t>
    <phoneticPr fontId="3"/>
  </si>
  <si>
    <t>食品業運用保守</t>
    <rPh sb="0" eb="2">
      <t>ショクヒン</t>
    </rPh>
    <rPh sb="2" eb="3">
      <t>ギョウ</t>
    </rPh>
    <rPh sb="3" eb="7">
      <t>ウンヨウホシュ</t>
    </rPh>
    <phoneticPr fontId="3"/>
  </si>
  <si>
    <t>横浜（フル出社）
慣れてくれば、週3回程度には減らせる</t>
    <rPh sb="0" eb="2">
      <t>ヨコハマ</t>
    </rPh>
    <rPh sb="5" eb="7">
      <t>シュッシャ</t>
    </rPh>
    <rPh sb="9" eb="10">
      <t>ナ</t>
    </rPh>
    <rPh sb="16" eb="17">
      <t>シュウ</t>
    </rPh>
    <rPh sb="18" eb="19">
      <t>カイ</t>
    </rPh>
    <rPh sb="19" eb="21">
      <t>テイド</t>
    </rPh>
    <rPh sb="23" eb="24">
      <t>ヘ</t>
    </rPh>
    <phoneticPr fontId="3"/>
  </si>
  <si>
    <t>スキル</t>
    <phoneticPr fontId="3"/>
  </si>
  <si>
    <t>Snowflake開発メンバー</t>
    <rPh sb="9" eb="11">
      <t>カイハツ</t>
    </rPh>
    <phoneticPr fontId="3"/>
  </si>
  <si>
    <t>・Snowflakeに関する開発経験
・SQL・DWH・クラウドをベースに、Snowflake特有のデータ基盤設計およびデータパイプライン構築スキルが求められる</t>
    <rPh sb="11" eb="12">
      <t>カン</t>
    </rPh>
    <rPh sb="14" eb="16">
      <t>カイハツ</t>
    </rPh>
    <rPh sb="16" eb="18">
      <t>ケイケン</t>
    </rPh>
    <phoneticPr fontId="3"/>
  </si>
  <si>
    <t>週3程度で日本橋にオンサイト</t>
    <rPh sb="5" eb="8">
      <t>ニホンバシ</t>
    </rPh>
    <phoneticPr fontId="3"/>
  </si>
  <si>
    <t>会計上流SE1名、ロジ上流1名</t>
    <rPh sb="0" eb="2">
      <t>カイケイ</t>
    </rPh>
    <rPh sb="2" eb="4">
      <t>ジョウリュウ</t>
    </rPh>
    <rPh sb="7" eb="8">
      <t>メイ</t>
    </rPh>
    <rPh sb="11" eb="13">
      <t>ジョウリュウ</t>
    </rPh>
    <rPh sb="14" eb="15">
      <t>メイ</t>
    </rPh>
    <phoneticPr fontId="3"/>
  </si>
  <si>
    <t>開発リーダー</t>
    <rPh sb="0" eb="2">
      <t>カイハツ</t>
    </rPh>
    <phoneticPr fontId="3"/>
  </si>
  <si>
    <t>・コンサルタントが整理した要件を正確に理解し、開発メンバーへ適切に展開できること
・要件内容・設計方針について、開発観点で補完・調整しながらメンバーへ落とし込む力
・開発メンバーからの課題・疑問に対して自立して調査し、技術的な支援・方向性提示ができること
・標準機能およびアドオン双方を踏まえ、適切な実装方針や対応策を判断できること
・開発メンバーへのタスクアサイン、進捗管理、品質管理を実施できること
・成果物レビューを通じて、設計・開発内容の妥当性および品質を担保できること
・コンサルタントと開発メンバーの間に立ち、要件・仕様・課題に関する認識齟齬を調整できること
・受け身ではなく、プロジェクト全体を意識し、先回りで対応・推進できるリーダーシップを有すること</t>
    <phoneticPr fontId="3"/>
  </si>
  <si>
    <t>・要件定義（業務フロー・要件定義書・課題整理資料等）資料の理解・修正ができる
　　　・要件定義書をもとにベンダー作成の基本設計書のレビューができる
　　　・伝票入力、マスタ類、カスタマイズなどについて経験・理解できる
　　　※会計の中で業績（BW）要件もあるため、そのあたりの整理についても経験があれば尚◎
　　　※アドオン設計経験は必要。実装経験はMUSTではないです。
　　　※開発の経験あればベター
　　　※コミュニケーション力重視（外国籍はかなり日本語が流暢ではないと厳しい）</t>
    <phoneticPr fontId="3"/>
  </si>
  <si>
    <t>S/4HANA導入中案件の顧客側支援・運用保守（SD領域）</t>
    <phoneticPr fontId="3"/>
  </si>
  <si>
    <t>SDコンサル（ミドル、ジュニアクラス）</t>
    <phoneticPr fontId="3"/>
  </si>
  <si>
    <t>・伝票入力、マスタ類、カスタマイズは対応可能
　　　・問い合わせ、障害チケットに対しての対応案策定可能
　　　※アドオン設計経験（特にI/F）は必要。実装経験はMUSTではないです。
　　　※運用保守の経験
　　　※コミュニケーション力重視（外国籍はかなり日本語が流暢ではないと厳しい)</t>
    <phoneticPr fontId="3"/>
  </si>
  <si>
    <t>要員レベル</t>
    <rPh sb="0" eb="2">
      <t>ヨウイン</t>
    </rPh>
    <phoneticPr fontId="3"/>
  </si>
  <si>
    <t>コンサル</t>
    <phoneticPr fontId="3"/>
  </si>
  <si>
    <t>SE</t>
    <phoneticPr fontId="3"/>
  </si>
  <si>
    <t xml:space="preserve">・上流SE以上の業務知識
・ユーザからの問合せを自立して受け、調査・回答まで完結できること
・標準機能・アドオン双方を踏まえた適切な切り分けおよび対応方針の判断
・問合せ対応において、単一視点ではなく複合的な観点から調査・検討したうえで判断・回答
・基礎的な問合せにとどまらず、通常問合せについては自己完結を基本とし、リーダーレビュー依存を避ける
・受け身ではなく、積極的に仕事をとりに行く姿勢
</t>
    <rPh sb="1" eb="3">
      <t>ジョウリュウ</t>
    </rPh>
    <rPh sb="5" eb="7">
      <t>イジョウ</t>
    </rPh>
    <rPh sb="8" eb="12">
      <t>ギョウムチシキ</t>
    </rPh>
    <phoneticPr fontId="3"/>
  </si>
  <si>
    <t>TL</t>
    <phoneticPr fontId="3"/>
  </si>
  <si>
    <t>PG</t>
    <phoneticPr fontId="3"/>
  </si>
  <si>
    <t>S/4 HANA パブクラ導入案件</t>
    <rPh sb="13" eb="17">
      <t>ドウニュウアンケン</t>
    </rPh>
    <phoneticPr fontId="3"/>
  </si>
  <si>
    <t>時期</t>
    <phoneticPr fontId="3"/>
  </si>
  <si>
    <t>役割</t>
    <phoneticPr fontId="3"/>
  </si>
  <si>
    <t>2名</t>
    <rPh sb="1" eb="2">
      <t>メイ</t>
    </rPh>
    <phoneticPr fontId="3"/>
  </si>
  <si>
    <t>SVF Ｃloud帳票開発</t>
    <phoneticPr fontId="3"/>
  </si>
  <si>
    <t>5名</t>
    <phoneticPr fontId="3"/>
  </si>
  <si>
    <t>SD/MM/PP の概要設計者</t>
    <phoneticPr fontId="3"/>
  </si>
  <si>
    <t>原則オンサイト（京都、もしくは豊洲）</t>
    <rPh sb="8" eb="10">
      <t>キョウト</t>
    </rPh>
    <rPh sb="15" eb="17">
      <t>トヨス</t>
    </rPh>
    <phoneticPr fontId="3"/>
  </si>
  <si>
    <t>開発者（ABAP、CDS-View、Fiori、の技術者）</t>
    <phoneticPr fontId="3"/>
  </si>
  <si>
    <t>8月</t>
    <phoneticPr fontId="3"/>
  </si>
  <si>
    <t>運用保守案件の改善活動</t>
    <rPh sb="0" eb="4">
      <t>ウンヨウホシュ</t>
    </rPh>
    <rPh sb="4" eb="6">
      <t>アンケン</t>
    </rPh>
    <rPh sb="7" eb="9">
      <t>カイゼン</t>
    </rPh>
    <rPh sb="9" eb="11">
      <t>カツドウ</t>
    </rPh>
    <phoneticPr fontId="3"/>
  </si>
  <si>
    <t xml:space="preserve">SDコンサル(ミドル以上)　1名
MMコンサル(ミドル以上)　1名
</t>
    <rPh sb="10" eb="12">
      <t>イジョウ</t>
    </rPh>
    <rPh sb="15" eb="16">
      <t>メイ</t>
    </rPh>
    <rPh sb="32" eb="33">
      <t>メイ</t>
    </rPh>
    <phoneticPr fontId="3"/>
  </si>
  <si>
    <t>都内（週1出社）、たまに出張する可能性ある</t>
    <rPh sb="12" eb="14">
      <t>シュッチョウ</t>
    </rPh>
    <rPh sb="16" eb="19">
      <t>カノウセイ</t>
    </rPh>
    <phoneticPr fontId="3"/>
  </si>
  <si>
    <t>S/4 HANA 導入案件</t>
    <rPh sb="9" eb="13">
      <t>ドウニュウアンケン</t>
    </rPh>
    <phoneticPr fontId="3"/>
  </si>
  <si>
    <t>BDC開発者
(SAP Business Data Cloud)</t>
    <rPh sb="3" eb="5">
      <t>カイハツ</t>
    </rPh>
    <rPh sb="5" eb="6">
      <t>シャ</t>
    </rPh>
    <phoneticPr fontId="3"/>
  </si>
  <si>
    <t>都内（週2出社）</t>
    <phoneticPr fontId="3"/>
  </si>
  <si>
    <t>大阪（エネルギー）
S/4 HANA 導入案件</t>
    <rPh sb="19" eb="23">
      <t>ドウニュウアンケン</t>
    </rPh>
    <phoneticPr fontId="3"/>
  </si>
  <si>
    <t>FI　シニアコンサルタント</t>
    <phoneticPr fontId="3"/>
  </si>
  <si>
    <t>S4導入済み（FI-GLのみ）
FI-AP,AR領域について現行HOSTを利用しており、SAPへ移管する。
現在プロトフェーズ：Fit&amp;Gap実施済で課題消込＆To-BEフロー作成、SAPへ落込み。
すでに弊社FIシニアコンサルタントが参画しており、並列で稼働して頂く想定。
スキル充分あれば月0.5工数程度、参画時以外は基本リモートでの契約も可</t>
    <phoneticPr fontId="3"/>
  </si>
  <si>
    <t>お客様オフィス/都内勤務
（リモート要相談）</t>
    <rPh sb="8" eb="10">
      <t>トナイ</t>
    </rPh>
    <phoneticPr fontId="3"/>
  </si>
  <si>
    <t>大阪-製造業
SAP運用保守案件</t>
    <rPh sb="10" eb="12">
      <t>ウンヨウ</t>
    </rPh>
    <rPh sb="12" eb="14">
      <t>ホシュ</t>
    </rPh>
    <rPh sb="14" eb="16">
      <t>アンケン</t>
    </rPh>
    <phoneticPr fontId="3"/>
  </si>
  <si>
    <t xml:space="preserve">MM ミドルコンサルタント　
</t>
    <phoneticPr fontId="3"/>
  </si>
  <si>
    <t>調達チームの支援。
領域は「MM:在庫購買（MRP（資材所要量計画）の理解、経験値重視）」
ABAPプログラムの調査も可の方、コミュニケーション重視</t>
    <phoneticPr fontId="3"/>
  </si>
  <si>
    <t>原則オンサイト（都内）、ハイブリットで対応できる方</t>
    <rPh sb="8" eb="10">
      <t>トナイ</t>
    </rPh>
    <rPh sb="19" eb="21">
      <t>タイオウ</t>
    </rPh>
    <rPh sb="24" eb="25">
      <t>カタ</t>
    </rPh>
    <phoneticPr fontId="3"/>
  </si>
  <si>
    <t>CO ジュニアコンサルタント</t>
    <phoneticPr fontId="3"/>
  </si>
  <si>
    <r>
      <t>コンサル
(</t>
    </r>
    <r>
      <rPr>
        <b/>
        <sz val="11"/>
        <color theme="1"/>
        <rFont val="Calibri"/>
        <family val="3"/>
        <charset val="128"/>
        <scheme val="minor"/>
      </rPr>
      <t>ジュニア可</t>
    </r>
    <r>
      <rPr>
        <sz val="11"/>
        <color theme="1"/>
        <rFont val="Calibri"/>
        <family val="2"/>
        <scheme val="minor"/>
      </rPr>
      <t>)</t>
    </r>
    <rPh sb="10" eb="11">
      <t>カ</t>
    </rPh>
    <phoneticPr fontId="3"/>
  </si>
  <si>
    <t>PPジュニアコンサルタント</t>
    <phoneticPr fontId="3"/>
  </si>
  <si>
    <t>SDミドルコンサルタント
※既存案件巻取り</t>
    <rPh sb="14" eb="18">
      <t>キゾンアンケン</t>
    </rPh>
    <rPh sb="18" eb="20">
      <t>マキト</t>
    </rPh>
    <phoneticPr fontId="3"/>
  </si>
  <si>
    <t>販売管理領域の保守巻取り支援。
業務フロー作成、業務・システム内容把握、整理。
ABAPプログラムの調査も可の方、コミュニケーション重視</t>
    <phoneticPr fontId="3"/>
  </si>
  <si>
    <t>BTP要員(シニアレベル)</t>
    <rPh sb="3" eb="5">
      <t>ヨウイン</t>
    </rPh>
    <phoneticPr fontId="3"/>
  </si>
  <si>
    <t>・BTPに関する開発経験
・調査フェーズよりの参画
・Integration Suiteに関する知見は必須</t>
    <rPh sb="5" eb="6">
      <t>カン</t>
    </rPh>
    <rPh sb="8" eb="10">
      <t>カイハツ</t>
    </rPh>
    <rPh sb="10" eb="12">
      <t>ケイケン</t>
    </rPh>
    <rPh sb="45" eb="46">
      <t>カン</t>
    </rPh>
    <rPh sb="48" eb="50">
      <t>チケン</t>
    </rPh>
    <rPh sb="51" eb="53">
      <t>ヒッス</t>
    </rPh>
    <phoneticPr fontId="3"/>
  </si>
  <si>
    <t xml:space="preserve">・SVF Ｃloudを用いた帳票設計・開発経験
・帳票レイアウト設計、帳票要件定義の経験
・SQLによるデータ抽出・加工スキル
</t>
    <phoneticPr fontId="3"/>
  </si>
  <si>
    <t xml:space="preserve">・SD/MM/PPのいずれのモジュールに関する概要設計経験
・関係者（業務／開発）との調整・コミュニケーション能力
</t>
    <rPh sb="20" eb="21">
      <t>カン</t>
    </rPh>
    <rPh sb="23" eb="27">
      <t>ガイヨウセッケイ</t>
    </rPh>
    <rPh sb="27" eb="29">
      <t>ケイケン</t>
    </rPh>
    <phoneticPr fontId="3"/>
  </si>
  <si>
    <t xml:space="preserve">・ABAP開発経験6年以上
・CDS-View、Fioriの開発が得意な方
</t>
    <rPh sb="5" eb="7">
      <t>カイハツ</t>
    </rPh>
    <rPh sb="7" eb="9">
      <t>ケイケン</t>
    </rPh>
    <rPh sb="10" eb="11">
      <t>ネン</t>
    </rPh>
    <rPh sb="11" eb="13">
      <t>イジョウ</t>
    </rPh>
    <rPh sb="30" eb="32">
      <t>カイハツ</t>
    </rPh>
    <rPh sb="33" eb="35">
      <t>トクイ</t>
    </rPh>
    <rPh sb="36" eb="37">
      <t>カタ</t>
    </rPh>
    <phoneticPr fontId="3"/>
  </si>
  <si>
    <t xml:space="preserve">■ 必須スキル
・SAP Datasphere（またはDWC）での設計／開発経験
・データモデリング経験（Fact/Dimension設計など）
・データ統合に関する知見（SAP／非SAP連携）
■ 尚可スキル
・SAP Analytics Cloud（SAC）の使用経験
・Databricks／Pythonによるデータ分析・AI経験
・SAP BTPの理解
・S/4HANAのデータ構造理解（CDS View等）
</t>
    <phoneticPr fontId="3"/>
  </si>
  <si>
    <t>生産管理チームの支援。　
領域は「PP：生産管理」及び「PP/PS：生産計画」
標準が分かっている、かつ、単独で作業できる方
ABAPプログラムの調査も可の方、コミュニケーション重視</t>
    <phoneticPr fontId="3"/>
  </si>
  <si>
    <t xml:space="preserve">原価チームの支援。　
領域は「CO：管理会計（CO-PC 製造原価を重視）」
標準が分かっている、かつ、単独で作業できる方
ABAPプログラムの調査も可の方、コミュニケーション重視
</t>
    <rPh sb="39" eb="41">
      <t>ヒョウジュン</t>
    </rPh>
    <rPh sb="42" eb="43">
      <t>ワ</t>
    </rPh>
    <rPh sb="52" eb="54">
      <t>タンドク</t>
    </rPh>
    <rPh sb="55" eb="57">
      <t>サギョウ</t>
    </rPh>
    <rPh sb="60" eb="61">
      <t>カタ</t>
    </rPh>
    <phoneticPr fontId="3"/>
  </si>
  <si>
    <t xml:space="preserve">&lt;概要&gt;
「在庫適正化」をテーマとした要件定義を担当
具体的には、SAP外（周辺システム）で個別管理されている在庫業務をSAPに集約し、
業務標準化を図るとともに、SAP標準機能の活用を基本とし、
不足部分についてはアドオン開発により実現する方針で検討・整理を実施。
&lt;スキル&gt;
・SAPにおける要件定義フェーズの実務経験（業務分析、Fit&amp;Gap推進含む）
・顧客業務の理解を踏まえた要件整理および業務調整（折衝）スキル
・在庫引当、受注、発注等を含む在庫管理領域の業務知識
・関係者との合意形成をリードできるコミュニケーション能力
・課題に対して主体的に動き、解決まで推進できる実行力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</si>
</sst>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Calibri"/>
      <family val="3"/>
      <charset val="128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psq001/sonybank/Documents%20and%20Settings/kawana.OHSAKI/My%20Documents/&#20316;&#26989;&#20013;/DB&#65288;CT&#65289;.xls" TargetMode="External"/><Relationship Id="rId1" Type="http://schemas.openxmlformats.org/officeDocument/2006/relationships/externalLinkPath" Target="/Fpsq001/sonybank/Documents%20and%20Settings/kawana.OHSAKI/My%20Documents/&#20316;&#26989;&#20013;/DB&#65288;CT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vrep001/fh21&#20849;&#26377;/FH21&#24773;&#22577;&#31995;Work/&#9679;00&#20840;&#20307;&#36039;&#26009;/30&#9679;&#27161;&#28310;&#21270;/200009&#65397;&#65392;&#65420;&#65439;&#65437;&#31995;&#65288;&#34701;&#36039;&#27161;&#28310;&#65289;/&#20849;&#21516;&#21270;&#65339;&#21475;&#24231;&#25391;&#26367;&#65341;/&#65436;&#65392;&#65400;&#65435;&#65392;&#65412;&#65438;/&#65334;&#65314;&#35201;&#20214;&#23450;&#32681;&#25104;&#26524;&#29289;.xls" TargetMode="External"/><Relationship Id="rId1" Type="http://schemas.openxmlformats.org/officeDocument/2006/relationships/externalLinkPath" Target="/Svrep001/fh21&#20849;&#26377;/FH21&#24773;&#22577;&#31995;Work/&#9679;00&#20840;&#20307;&#36039;&#26009;/30&#9679;&#27161;&#28310;&#21270;/200009&#65397;&#65392;&#65420;&#65439;&#65437;&#31995;&#65288;&#34701;&#36039;&#27161;&#28310;&#65289;/&#20849;&#21516;&#21270;&#65339;&#21475;&#24231;&#25391;&#26367;&#65341;/&#65436;&#65392;&#65400;&#65435;&#65392;&#65412;&#65438;/&#65334;&#65314;&#35201;&#20214;&#23450;&#32681;&#25104;&#26524;&#29289;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nityad/&#31649;&#29702;/Documents%20and%20Settings/Administrator/&#12487;&#12473;&#12463;&#12488;&#12483;&#12503;/2005&#32076;&#27508;&#26360;&#65288;&#23665;&#21475;&#26124;&#65289;.xls" TargetMode="External"/><Relationship Id="rId1" Type="http://schemas.openxmlformats.org/officeDocument/2006/relationships/externalLinkPath" Target="/unityad/&#31649;&#29702;/Documents%20and%20Settings/Administrator/&#12487;&#12473;&#12463;&#12488;&#12483;&#12503;/2005&#32076;&#27508;&#26360;&#65288;&#23665;&#21475;&#26124;&#65289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Yellow/SDAS&#25512;&#36914;&#23460;/temp/03&#38283;&#30330;&#27161;&#28310;/01&#27161;&#28310;&#12489;&#12461;&#12517;&#12513;&#12531;&#12488;/02&#12489;&#12461;&#12517;&#12513;&#12531;&#12488;&#12501;&#12457;&#12540;&#12510;&#12483;&#12488;/PT&#23436;&#20102;&#22577;&#21578;&#26360;&#20860;&#21697;&#36074;&#38598;&#35336;&#12471;&#12540;&#12488;(&#12501;&#12457;&#12540;&#12510;&#12483;&#12488;).xls" TargetMode="External"/><Relationship Id="rId1" Type="http://schemas.openxmlformats.org/officeDocument/2006/relationships/externalLinkPath" Target="/Yellow/SDAS&#25512;&#36914;&#23460;/temp/03&#38283;&#30330;&#27161;&#28310;/01&#27161;&#28310;&#12489;&#12461;&#12517;&#12513;&#12531;&#12488;/02&#12489;&#12461;&#12517;&#12513;&#12531;&#12488;&#12501;&#12457;&#12540;&#12510;&#12483;&#12488;/PT&#23436;&#20102;&#22577;&#21578;&#26360;&#20860;&#21697;&#36074;&#38598;&#35336;&#12471;&#12540;&#12488;(&#12501;&#12457;&#12540;&#12510;&#12483;&#12488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01_BASE/03_&#35201;&#21729;&#12539;&#25552;&#26696;&#12539;&#25163;&#32154;&#12365;/02_&#23653;&#27508;&#26360;/202309/&#25552;&#26696;&#35201;&#21729;&#19968;&#35239;_20230905/&#12304;&#12505;&#12540;&#12473;(&#26666;)&#12305;&#23433;&#24029;&#38651;&#27231;&#27096;&#21608;&#36794;&#12481;&#12540;&#12512;_&#25552;&#26696;&#35201;&#21729;&#19968;&#35239;_2023090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vrep001/fh21&#20849;&#26377;/&#20849;&#29992;/Tashiro/&#25285;&#20445;&#38306;&#36899;&#36039;&#26009;/&#36039;&#26009;/&#65316;&#65314;&#20181;&#27096;&#26360;/&#12486;&#12540;&#12502;&#12523;&#35373;&#35336;&#65288;&#25285;&#20445;&#31649;&#29702;&#65289;.xls" TargetMode="External"/><Relationship Id="rId1" Type="http://schemas.openxmlformats.org/officeDocument/2006/relationships/externalLinkPath" Target="/Svrep001/fh21&#20849;&#26377;/&#20849;&#29992;/Tashiro/&#25285;&#20445;&#38306;&#36899;&#36039;&#26009;/&#36039;&#26009;/&#65316;&#65314;&#20181;&#27096;&#26360;/&#12486;&#12540;&#12502;&#12523;&#35373;&#35336;&#65288;&#25285;&#20445;&#31649;&#29702;&#6528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003225201201.yakushin2gen.jp.fujitsu.com/Users/HT19-N1221/Desktop/&#20491;&#20154;/&#9632;&#32113;&#21512;&#32232;&#38598;&#12471;&#12473;&#12486;&#12512;PJ/20210819/&#12524;&#12499;&#12517;&#12540;&#31080;_14532_&#12450;&#12540;&#12459;&#12452;&#12502;_UI_&#30906;&#35469;&#36039;&#26009;&#20316;&#25104;_&#31038;&#20869;&#12524;&#12499;&#12517;&#12540;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VDT132/&#20849;&#21516;&#21270;&#21475;&#25391;/2&#35201;&#20214;&#23450;&#32681;/3&#21475;&#25391;&#35201;&#20214;&#23450;&#32681;&#26360;&#65288;&#27010;&#35201;&#29256;&#65289;/2.2&#23550;&#35937;&#27231;&#33021;.xls" TargetMode="External"/><Relationship Id="rId1" Type="http://schemas.openxmlformats.org/officeDocument/2006/relationships/externalLinkPath" Target="/VDT132/&#20849;&#21516;&#21270;&#21475;&#25391;/2&#35201;&#20214;&#23450;&#32681;/3&#21475;&#25391;&#35201;&#20214;&#23450;&#32681;&#26360;&#65288;&#27010;&#35201;&#29256;&#65289;/2.2&#23550;&#35937;&#27231;&#33021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base/Desktop/&#22823;&#29579;&#35069;&#32025;/V2/BIT&#32887;&#21209;&#32076;&#27508;&#26360;_&#26446;&#21407;&#21576;(51)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v500.osss.g01.fujitsu.local/f07495/06_&#21697;&#36074;&#31649;&#29702;/01_RD/01_&#12524;&#12499;&#12517;&#12540;&#31080;/&#12304;&#20316;&#25104;&#20013;&#12305;01_RD_8619_&#12524;&#12499;&#12517;&#12540;&#31080;_&#12471;&#12473;&#12486;&#12512;&#27231;&#33021;&#23450;&#32681;_&#12467;&#12531;&#12486;&#12490;&#19968;&#35239;(&#31038;&#20869;&#12524;&#12499;&#12517;&#12540;)_20201125_&#35199;&#26412;.xlsm" TargetMode="External"/><Relationship Id="rId1" Type="http://schemas.openxmlformats.org/officeDocument/2006/relationships/externalLinkPath" Target="/v500.osss.g01.fujitsu.local/f07495/06_&#21697;&#36074;&#31649;&#29702;/01_RD/01_&#12524;&#12499;&#12517;&#12540;&#31080;/&#12304;&#20316;&#25104;&#20013;&#12305;01_RD_8619_&#12524;&#12499;&#12517;&#12540;&#31080;_&#12471;&#12473;&#12486;&#12512;&#27231;&#33021;&#23450;&#32681;_&#12467;&#12531;&#12486;&#12490;&#19968;&#35239;(&#31038;&#20869;&#12524;&#12499;&#12517;&#12540;)_20201125_&#35199;&#26412;.xlsm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VDT132/&#20849;&#21516;&#21270;&#21475;&#25391;/&#20849;&#21516;&#21270;&#65339;&#21475;&#24231;&#25391;&#26367;&#65341;/&#65436;&#65392;&#65400;&#65435;&#65392;&#65412;&#65438;/&#65334;&#65314;&#35201;&#20214;&#23450;&#32681;&#25104;&#26524;&#29289;.xls" TargetMode="External"/><Relationship Id="rId1" Type="http://schemas.openxmlformats.org/officeDocument/2006/relationships/externalLinkPath" Target="/VDT132/&#20849;&#21516;&#21270;&#21475;&#25391;/&#20849;&#21516;&#21270;&#65339;&#21475;&#24231;&#25391;&#26367;&#65341;/&#65436;&#65392;&#65400;&#65435;&#65392;&#65412;&#65438;/&#65334;&#65314;&#35201;&#20214;&#23450;&#32681;&#25104;&#26524;&#29289;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OEMCOMPUTER/sekine/TEMP/Tashiro/&#25285;&#20445;&#38306;&#36899;&#36039;&#26009;/&#36039;&#26009;/&#65316;&#65314;&#20181;&#27096;&#26360;/&#12486;&#12540;&#12502;&#12523;&#35373;&#35336;&#65288;&#25285;&#20445;&#31649;&#29702;&#65289;.xls" TargetMode="External"/><Relationship Id="rId1" Type="http://schemas.openxmlformats.org/officeDocument/2006/relationships/externalLinkPath" Target="/OEMCOMPUTER/sekine/TEMP/Tashiro/&#25285;&#20445;&#38306;&#36899;&#36039;&#26009;/&#36039;&#26009;/&#65316;&#65314;&#20181;&#27096;&#26360;/&#12486;&#12540;&#12502;&#12523;&#35373;&#35336;&#65288;&#25285;&#20445;&#31649;&#29702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現行DB一覧1"/>
      <sheetName val="現行DB一覧2(CT)"/>
      <sheetName val="Sheet1"/>
      <sheetName val="Sheet4"/>
      <sheetName val="Sheet2"/>
      <sheetName val="Sheet3"/>
      <sheetName val="テストパターン一覧"/>
      <sheetName val="メッセージ文言取込(Web21TOP)"/>
      <sheetName val="メッセージ文言取込(総合振込)"/>
      <sheetName val="メッセージ文言取込(給与・賞与振込)"/>
      <sheetName val="メッセージ文言取込(取引口座照会)"/>
      <sheetName val="メッセージ文言取込(個人地方税)"/>
      <sheetName val="メッセージ文言取込(振込振替)"/>
      <sheetName val="メッセージ文言取込(口座情報・事前設定)"/>
      <sheetName val="メッセージ文言取込(セキュリティ管理)"/>
      <sheetName val="マスタデータ（DB格納用）"/>
      <sheetName val="ﾍﾞｰｽ"/>
      <sheetName val="はじめに"/>
      <sheetName val="一覧表"/>
      <sheetName val="法1"/>
      <sheetName val="法2"/>
      <sheetName val="法3"/>
      <sheetName val="法4"/>
      <sheetName val="法5"/>
      <sheetName val="法6"/>
      <sheetName val="法7"/>
      <sheetName val="法8"/>
      <sheetName val="法9"/>
      <sheetName val="学1"/>
      <sheetName val="学2"/>
      <sheetName val="学3"/>
      <sheetName val="学4"/>
      <sheetName val="学5"/>
      <sheetName val="学6"/>
      <sheetName val="学7"/>
      <sheetName val="学8"/>
      <sheetName val="学9"/>
      <sheetName val="学10"/>
      <sheetName val="system-hojin-kikan"/>
      <sheetName val="system-gakno-kikan"/>
      <sheetName val="現行DB一覧2_CT_"/>
      <sheetName val="SDB(1)"/>
      <sheetName val="ルール表"/>
      <sheetName val="概算見積書"/>
      <sheetName val="設定値"/>
      <sheetName val="設定シート"/>
      <sheetName val="表紙"/>
      <sheetName val="修正履歴"/>
      <sheetName val="ＰＴ障害管理台帳"/>
      <sheetName val="説明資料"/>
      <sheetName val="パラメタ"/>
      <sheetName val="コメント選択肢"/>
      <sheetName val="Profile"/>
      <sheetName val="マスタ"/>
      <sheetName val="9.ﾄﾞｷｭﾒﾝﾄ(記入）"/>
      <sheetName val="プルダウン参照"/>
      <sheetName val="法©"/>
      <sheetName val="別紙1_作業分類"/>
      <sheetName val="MST"/>
      <sheetName val="DB（CT）"/>
      <sheetName val="#REF"/>
      <sheetName val="金融機関別"/>
      <sheetName val="ｺﾞﾝﾍﾟﾙﾂ曲線"/>
      <sheetName val="原紙２"/>
      <sheetName val="Webダウン取引仕様"/>
      <sheetName val="管理情報"/>
      <sheetName val="業務区分"/>
      <sheetName val="原因分類_不具合内容"/>
      <sheetName val="処理種別"/>
      <sheetName val="原因工程"/>
      <sheetName val="リスト"/>
      <sheetName val="選択肢"/>
      <sheetName val="機器設置申請書入力規制項目（裏リスト）"/>
      <sheetName val="区分値"/>
      <sheetName val="日付ﾃｰﾌﾞﾙ"/>
      <sheetName val="環境設定"/>
      <sheetName val="CQ台帳"/>
      <sheetName val="tmp"/>
      <sheetName val="資料用作図２"/>
      <sheetName val="【元ねた】Ⅰ年間計画書"/>
      <sheetName val="資料（テレホン）"/>
      <sheetName val="入力補助"/>
      <sheetName val="1"/>
      <sheetName val="2"/>
      <sheetName val="3"/>
      <sheetName val="7"/>
      <sheetName val="機器マスタ"/>
      <sheetName val="101表紙"/>
      <sheetName val="102改版履歴"/>
      <sheetName val="103依頼事項"/>
      <sheetName val="104詳細スケジュール"/>
      <sheetName val="105_フロアレイアウト図"/>
      <sheetName val="106ネットワーク図"/>
      <sheetName val="107回線一覧"/>
      <sheetName val="201_サーバ構成"/>
      <sheetName val="202_導入機器一覧(設置諸元)"/>
      <sheetName val="203_ハード・ソフト構成一覧表"/>
      <sheetName val="205_電源接続図(手書き)"/>
      <sheetName val="206_工事全配線表（○UTPFC電源_手書き） (その他)"/>
      <sheetName val="206_工事全配線表(●電源)"/>
      <sheetName val="204_ラック搭載図 (B棟C43) "/>
      <sheetName val="204_ラック搭載図 (3F)"/>
      <sheetName val="ノードマスタ"/>
      <sheetName val="印刷不要）対応難易度の定義"/>
      <sheetName val="ＤＢ"/>
      <sheetName val="リソース"/>
      <sheetName val="参照"/>
      <sheetName val="記述要領"/>
      <sheetName val="WORK"/>
      <sheetName val="ﾃﾚﾊﾞﾝRTGS共用"/>
      <sheetName val="(別紙属性名一覧)"/>
      <sheetName val="総合件数一覧"/>
      <sheetName val="運用ルール"/>
      <sheetName val="原因分類管理シート"/>
      <sheetName val="Ｓ級職sheet"/>
      <sheetName val="コード表"/>
      <sheetName val="原因サブ・機能"/>
      <sheetName val="工程・タスク定義"/>
      <sheetName val="障害区分・種別"/>
      <sheetName val="基準テーブル（変更不可）"/>
      <sheetName val="件数"/>
      <sheetName val="上期"/>
      <sheetName val="ヘッダ"/>
      <sheetName val="不具合分析グラフ"/>
      <sheetName val="コンソール接続"/>
      <sheetName val="ハードウェアリスト"/>
      <sheetName val="ＣＤＵＴ局面報告シート"/>
      <sheetName val="申請"/>
      <sheetName val="A01"/>
      <sheetName val="Sheet6"/>
      <sheetName val="メイン"/>
      <sheetName val="所管別１"/>
      <sheetName val="PR"/>
      <sheetName val="見積額計算表"/>
      <sheetName val="item"/>
      <sheetName val="基本システム"/>
      <sheetName val="設定"/>
      <sheetName val="概要"/>
      <sheetName val="リスト項目"/>
      <sheetName val="6"/>
      <sheetName val="JobNet定義"/>
      <sheetName val="勘定系ｵﾝﾗｲﾝ性能"/>
      <sheetName val="名称ﾏｽﾀ"/>
      <sheetName val="画面項目仕様 (ph2_org)"/>
      <sheetName val="画面項目仕様 (ph1)"/>
      <sheetName val="使い方"/>
      <sheetName val="学ǘ"/>
      <sheetName val="テンプレート"/>
      <sheetName val="原因分類"/>
      <sheetName val="ＦＢ外為データ項目一覧"/>
      <sheetName val="SK"/>
      <sheetName val="ＴＫＣ"/>
      <sheetName val="AS計算テーブル"/>
      <sheetName val="メール宛先"/>
      <sheetName val="対象システムリスト"/>
      <sheetName val="入力一覧"/>
      <sheetName val="LIST"/>
      <sheetName val="TDC"/>
      <sheetName val="EXA"/>
      <sheetName val="補足資料_進捗_リスト"/>
      <sheetName val="項目"/>
      <sheetName val="見積連絡表"/>
      <sheetName val="分類"/>
      <sheetName val="リスト(消さないでください）"/>
      <sheetName val="見積"/>
      <sheetName val="1.テスト項目一覧"/>
      <sheetName val="区分"/>
      <sheetName val="概念テーブル一覧(Table List)"/>
      <sheetName val="リスト内容"/>
      <sheetName val="申請マスタ"/>
      <sheetName val="命名規約"/>
      <sheetName val="命名規約・I列記載ルール"/>
      <sheetName val="命名規約・記載ルール"/>
      <sheetName val="問合せ一覧"/>
      <sheetName val="条件"/>
      <sheetName val="サマリ"/>
      <sheetName val="単票"/>
      <sheetName val="原因区分"/>
      <sheetName val="サンプル(原因分類)"/>
      <sheetName val="ステータス"/>
      <sheetName val="B.インフラ構築プロジェクト対応（WorkOrder）_管理表"/>
      <sheetName val="総括表貼付"/>
      <sheetName val="累積データ"/>
      <sheetName val="営業会議1604"/>
      <sheetName val="【リスト内容】"/>
      <sheetName val="更新履歴"/>
      <sheetName val="チェックシート（機能単位）"/>
      <sheetName val="チェックシート（テーブル単位_複数の場合はシートコピー）"/>
      <sheetName val="申請マスタ (2)"/>
      <sheetName val="第四階層設定"/>
      <sheetName val="※指摘率（参考値）"/>
      <sheetName val="リスト１"/>
      <sheetName val="TB"/>
      <sheetName val="次期システム（受託）"/>
      <sheetName val="【雛型】"/>
      <sheetName val="プルダウンリスト候補"/>
      <sheetName val="要因分析"/>
      <sheetName val="処理詳細内容表"/>
      <sheetName val="凡例"/>
      <sheetName val="入力規則"/>
      <sheetName val="４．レイアウト・記入要領"/>
      <sheetName val="御見積"/>
      <sheetName val="プルダウン選択候補定義"/>
      <sheetName val="m_master"/>
      <sheetName val="チーム名一覧"/>
      <sheetName val="件数集計"/>
      <sheetName val="ステータスと記載運用"/>
      <sheetName val="初期表示"/>
      <sheetName val="検索"/>
      <sheetName val="承認"/>
      <sheetName val="帳票NOアンカー"/>
      <sheetName val="頁ジャンプ"/>
      <sheetName val="JS"/>
      <sheetName val="補足"/>
      <sheetName val="補足２"/>
      <sheetName val="各種データ"/>
      <sheetName val="コード定義"/>
      <sheetName val="コード類"/>
      <sheetName val="ﾚｰﾀﾞｰﾁｬｰﾄ計算用"/>
      <sheetName val="障害票の項目と値"/>
      <sheetName val="計画ﾚｰﾀﾞｰﾁｬｰﾄ計算用"/>
      <sheetName val="定義情報"/>
      <sheetName val="４処理概要（添付）"/>
      <sheetName val="201603"/>
      <sheetName val="201602"/>
      <sheetName val="201601"/>
      <sheetName val="201512"/>
      <sheetName val="201511"/>
      <sheetName val="201510"/>
      <sheetName val="201509"/>
      <sheetName val="201508"/>
      <sheetName val="201507"/>
      <sheetName val="201506"/>
      <sheetName val="201505"/>
      <sheetName val="201504"/>
      <sheetName val="HW業者との役務分担"/>
      <sheetName val="項目マスタシート"/>
      <sheetName val="提示用医科薬剤作表用ｙ-flag"/>
      <sheetName val="システムコード一覧"/>
      <sheetName val="リンクシート"/>
      <sheetName val="テスト結果報告書（単体試験）"/>
      <sheetName val="レコード一覧"/>
      <sheetName val="入力候補"/>
      <sheetName val="リスト用"/>
      <sheetName val="千葉ITﾃﾞｰﾀ"/>
      <sheetName val="ACTION"/>
      <sheetName val="選択リスト"/>
      <sheetName val="用語定義(ドロップダウンリスト)"/>
      <sheetName val="プルダウン"/>
      <sheetName val="分析６"/>
      <sheetName val="分類説明"/>
      <sheetName val="担当者リスト・大分類リスト"/>
      <sheetName val="ヘッジ比率(月次)"/>
      <sheetName val="課題・リスク把握経路"/>
      <sheetName val="リスク分類"/>
      <sheetName val="品目発生源グループ"/>
      <sheetName val="プラント"/>
      <sheetName val="保管場所"/>
      <sheetName val="外部品目グループ"/>
      <sheetName val="研究室・設計室"/>
      <sheetName val="利益センタ"/>
      <sheetName val="メッセージ文言取込(給与・賞与振込_x0000_"/>
      <sheetName val="default"/>
      <sheetName val="データ辞書"/>
      <sheetName val="品目一覧"/>
      <sheetName val="報告種類・情報源・調査区分"/>
      <sheetName val="患者情報"/>
      <sheetName val="マスタリスト"/>
      <sheetName val="テンプレート名リスト"/>
      <sheetName val="選択"/>
      <sheetName val="リストボックス"/>
      <sheetName val="データ類"/>
      <sheetName val="ジャーナル番号一覧"/>
      <sheetName val="受領一覧"/>
      <sheetName val="払出済みLCP_価格表"/>
      <sheetName val="RFS"/>
      <sheetName val="通報パターン表"/>
      <sheetName val="プロファイル"/>
      <sheetName val="データ"/>
      <sheetName val="予算消化状況"/>
      <sheetName val="社員リスト"/>
      <sheetName val="◇選択分類"/>
      <sheetName val="Summary"/>
      <sheetName val="ライセンスの種類"/>
    </sheetNames>
    <sheetDataSet>
      <sheetData sheetId="0">
        <row r="2">
          <cell r="A2" t="str">
            <v>EMAIL</v>
          </cell>
        </row>
      </sheetData>
      <sheetData sheetId="1" refreshError="1">
        <row r="2">
          <cell r="A2" t="str">
            <v>EMAIL</v>
          </cell>
          <cell r="B2" t="str">
            <v>CT受託銀行</v>
          </cell>
          <cell r="C2" t="str">
            <v>CTMMF分配金計算</v>
          </cell>
          <cell r="D2" t="str">
            <v>varchar</v>
          </cell>
          <cell r="E2">
            <v>100</v>
          </cell>
        </row>
        <row r="3">
          <cell r="A3" t="str">
            <v>EMAIL</v>
          </cell>
          <cell r="B3" t="str">
            <v>CT投信会社</v>
          </cell>
          <cell r="C3" t="str">
            <v>CTMMF分配金計算</v>
          </cell>
          <cell r="D3" t="str">
            <v>varchar</v>
          </cell>
          <cell r="E3">
            <v>100</v>
          </cell>
        </row>
        <row r="4">
          <cell r="A4" t="str">
            <v>EMAIL2</v>
          </cell>
          <cell r="B4" t="str">
            <v>CT受託銀行</v>
          </cell>
          <cell r="C4" t="str">
            <v>CT買戻し対象</v>
          </cell>
          <cell r="D4" t="str">
            <v>varchar</v>
          </cell>
          <cell r="E4">
            <v>100</v>
          </cell>
        </row>
        <row r="5">
          <cell r="A5" t="str">
            <v>FAX番号</v>
          </cell>
          <cell r="B5" t="str">
            <v>CT支店</v>
          </cell>
          <cell r="C5" t="str">
            <v>CT買戻し対象</v>
          </cell>
          <cell r="D5" t="str">
            <v>varchar</v>
          </cell>
          <cell r="E5">
            <v>20</v>
          </cell>
        </row>
        <row r="6">
          <cell r="A6" t="str">
            <v>FAX番号</v>
          </cell>
          <cell r="B6" t="str">
            <v>CT受託銀行</v>
          </cell>
          <cell r="C6" t="str">
            <v>CT為替レート登録区分</v>
          </cell>
          <cell r="D6" t="str">
            <v>varchar</v>
          </cell>
          <cell r="E6">
            <v>20</v>
          </cell>
        </row>
        <row r="7">
          <cell r="A7" t="str">
            <v>FAX番号</v>
          </cell>
          <cell r="B7" t="str">
            <v>CT投信会社</v>
          </cell>
          <cell r="C7" t="str">
            <v>CT為替レート登録区分</v>
          </cell>
          <cell r="D7" t="str">
            <v>varchar</v>
          </cell>
          <cell r="E7">
            <v>20</v>
          </cell>
        </row>
        <row r="8">
          <cell r="A8" t="str">
            <v>FAX番号2</v>
          </cell>
          <cell r="B8" t="str">
            <v>CT受託銀行</v>
          </cell>
          <cell r="C8" t="str">
            <v>CT管理会社</v>
          </cell>
          <cell r="D8" t="str">
            <v>varchar</v>
          </cell>
          <cell r="E8">
            <v>20</v>
          </cell>
        </row>
        <row r="9">
          <cell r="A9" t="str">
            <v>FD種類</v>
          </cell>
          <cell r="B9" t="str">
            <v>CT出金FD</v>
          </cell>
          <cell r="C9" t="str">
            <v>CT管理会社</v>
          </cell>
          <cell r="D9" t="str">
            <v>varchar</v>
          </cell>
          <cell r="E9">
            <v>20</v>
          </cell>
        </row>
        <row r="10">
          <cell r="A10" t="str">
            <v>MMF買戻し対象区分</v>
          </cell>
          <cell r="B10" t="str">
            <v>CT買戻し対象</v>
          </cell>
          <cell r="C10" t="str">
            <v>○</v>
          </cell>
          <cell r="D10" t="str">
            <v>varchar</v>
          </cell>
          <cell r="E10">
            <v>2</v>
          </cell>
        </row>
        <row r="11">
          <cell r="A11" t="str">
            <v>MMF分配金計算区分</v>
          </cell>
          <cell r="B11" t="str">
            <v>CTMMF分配金計算</v>
          </cell>
          <cell r="C11" t="str">
            <v>CT決済区分</v>
          </cell>
          <cell r="D11" t="str">
            <v>varchar</v>
          </cell>
          <cell r="E11">
            <v>20</v>
          </cell>
        </row>
        <row r="12">
          <cell r="A12" t="str">
            <v>OLE社印</v>
          </cell>
          <cell r="B12" t="str">
            <v>CTユーザ会社名</v>
          </cell>
          <cell r="C12" t="str">
            <v>CTシステムコード</v>
          </cell>
          <cell r="D12" t="str">
            <v>image</v>
          </cell>
          <cell r="E12">
            <v>7</v>
          </cell>
        </row>
        <row r="13">
          <cell r="A13" t="str">
            <v>OLE社名</v>
          </cell>
          <cell r="B13" t="str">
            <v>CTユーザ会社名</v>
          </cell>
          <cell r="C13" t="str">
            <v>CTシステムコード</v>
          </cell>
          <cell r="D13" t="str">
            <v>image</v>
          </cell>
          <cell r="E13">
            <v>6</v>
          </cell>
        </row>
        <row r="14">
          <cell r="A14" t="str">
            <v>ｶﾅ決済銀行支店名</v>
          </cell>
          <cell r="B14" t="str">
            <v>CT決済銀行支店</v>
          </cell>
          <cell r="C14" t="str">
            <v>CTシステムコード</v>
          </cell>
          <cell r="D14" t="str">
            <v>varchar</v>
          </cell>
          <cell r="E14">
            <v>15</v>
          </cell>
        </row>
        <row r="15">
          <cell r="A15" t="str">
            <v>ｶﾅ決済銀行名</v>
          </cell>
          <cell r="B15" t="str">
            <v>CT決済銀行</v>
          </cell>
          <cell r="C15" t="str">
            <v>CTシステムステイタス</v>
          </cell>
          <cell r="D15" t="str">
            <v>varchar</v>
          </cell>
          <cell r="E15">
            <v>15</v>
          </cell>
        </row>
        <row r="16">
          <cell r="A16" t="str">
            <v>ｶﾅ決済口座名義人</v>
          </cell>
          <cell r="B16" t="str">
            <v>CT受託銀行</v>
          </cell>
          <cell r="C16" t="str">
            <v>CTシステムステイタス</v>
          </cell>
          <cell r="D16" t="str">
            <v>varchar</v>
          </cell>
          <cell r="E16">
            <v>30</v>
          </cell>
        </row>
        <row r="17">
          <cell r="A17" t="str">
            <v>ｶﾅ決済口座名義人</v>
          </cell>
          <cell r="B17" t="str">
            <v>CT投信会社</v>
          </cell>
          <cell r="C17" t="str">
            <v>CTシステムステイタス</v>
          </cell>
          <cell r="D17" t="str">
            <v>varchar</v>
          </cell>
          <cell r="E17">
            <v>30</v>
          </cell>
        </row>
        <row r="18">
          <cell r="A18" t="str">
            <v>為替レート登録区分</v>
          </cell>
          <cell r="B18" t="str">
            <v>CT為替レート登録区分</v>
          </cell>
          <cell r="C18" t="str">
            <v>CTシステムステイタス</v>
          </cell>
          <cell r="D18" t="str">
            <v>bit</v>
          </cell>
          <cell r="E18">
            <v>2</v>
          </cell>
        </row>
        <row r="19">
          <cell r="A19" t="str">
            <v>管理会社コード</v>
          </cell>
          <cell r="B19" t="str">
            <v>CT管理会社</v>
          </cell>
          <cell r="C19" t="str">
            <v>CTシステムステイタス</v>
          </cell>
          <cell r="D19" t="str">
            <v>bit</v>
          </cell>
          <cell r="E19">
            <v>3</v>
          </cell>
        </row>
        <row r="20">
          <cell r="A20" t="str">
            <v>管理会社名</v>
          </cell>
          <cell r="B20" t="str">
            <v>CT管理会社</v>
          </cell>
          <cell r="C20" t="str">
            <v>CTシステムステイタス</v>
          </cell>
          <cell r="D20" t="str">
            <v>varchar</v>
          </cell>
          <cell r="E20">
            <v>50</v>
          </cell>
        </row>
        <row r="21">
          <cell r="A21" t="str">
            <v>キャッシング上限</v>
          </cell>
          <cell r="B21" t="str">
            <v>CTユーザ会社名</v>
          </cell>
          <cell r="C21" t="str">
            <v>CT代行証券会社</v>
          </cell>
          <cell r="D21" t="str">
            <v>money</v>
          </cell>
          <cell r="E21">
            <v>3</v>
          </cell>
        </row>
        <row r="22">
          <cell r="A22" t="str">
            <v>決済区分コード</v>
          </cell>
          <cell r="B22" t="str">
            <v>CT決済区分</v>
          </cell>
          <cell r="C22" t="str">
            <v>CT代行証券会社</v>
          </cell>
          <cell r="D22" t="str">
            <v>varchar</v>
          </cell>
          <cell r="E22">
            <v>50</v>
          </cell>
        </row>
        <row r="23">
          <cell r="A23" t="str">
            <v>項番</v>
          </cell>
          <cell r="B23" t="str">
            <v>CT帳票文言</v>
          </cell>
          <cell r="C23" t="str">
            <v>○</v>
          </cell>
          <cell r="D23" t="str">
            <v>smallint</v>
          </cell>
        </row>
        <row r="24">
          <cell r="A24" t="str">
            <v>システムコード</v>
          </cell>
          <cell r="B24" t="str">
            <v>CTシステムコード</v>
          </cell>
          <cell r="C24" t="str">
            <v>CT帳票文言</v>
          </cell>
          <cell r="D24" t="str">
            <v>varchar</v>
          </cell>
          <cell r="E24">
            <v>6</v>
          </cell>
        </row>
        <row r="25">
          <cell r="A25" t="str">
            <v>ソートキー</v>
          </cell>
          <cell r="B25" t="str">
            <v>CTシステムコード</v>
          </cell>
          <cell r="C25" t="str">
            <v>○</v>
          </cell>
          <cell r="D25" t="str">
            <v>varchar</v>
          </cell>
          <cell r="E25">
            <v>7</v>
          </cell>
        </row>
        <row r="26">
          <cell r="A26" t="str">
            <v>代行証券会社コード</v>
          </cell>
          <cell r="B26" t="str">
            <v>CT代行証券会社</v>
          </cell>
          <cell r="C26" t="str">
            <v>CT帳票文言</v>
          </cell>
          <cell r="D26" t="str">
            <v>varchar</v>
          </cell>
          <cell r="E26">
            <v>50</v>
          </cell>
        </row>
        <row r="27">
          <cell r="A27" t="str">
            <v>帳票キー</v>
          </cell>
          <cell r="B27" t="str">
            <v>CT帳票文言</v>
          </cell>
          <cell r="C27" t="str">
            <v>CT帳票文言</v>
          </cell>
          <cell r="D27" t="str">
            <v>varchar</v>
          </cell>
          <cell r="E27">
            <v>255</v>
          </cell>
        </row>
        <row r="28">
          <cell r="A28" t="str">
            <v>帳票名</v>
          </cell>
          <cell r="B28" t="str">
            <v>CT帳票文言</v>
          </cell>
          <cell r="C28" t="str">
            <v>○</v>
          </cell>
          <cell r="D28" t="str">
            <v>varchar</v>
          </cell>
          <cell r="E28">
            <v>50</v>
          </cell>
        </row>
        <row r="29">
          <cell r="A29" t="str">
            <v>テーブル名</v>
          </cell>
          <cell r="B29" t="str">
            <v>CTテーブル更新情報</v>
          </cell>
          <cell r="C29" t="str">
            <v>CTテーブル更新情報</v>
          </cell>
          <cell r="D29" t="str">
            <v>datetime</v>
          </cell>
          <cell r="E29">
            <v>30</v>
          </cell>
        </row>
        <row r="30">
          <cell r="A30" t="str">
            <v>テーブル名</v>
          </cell>
          <cell r="B30" t="str">
            <v>CT保有月数</v>
          </cell>
          <cell r="C30" t="str">
            <v>○</v>
          </cell>
          <cell r="D30" t="str">
            <v>varchar</v>
          </cell>
          <cell r="E30">
            <v>50</v>
          </cell>
        </row>
        <row r="31">
          <cell r="A31" t="str">
            <v>テーブル名</v>
          </cell>
          <cell r="B31" t="str">
            <v>CT帳票名</v>
          </cell>
          <cell r="C31" t="str">
            <v>CTメッセージ</v>
          </cell>
          <cell r="D31" t="str">
            <v>varchar</v>
          </cell>
          <cell r="E31">
            <v>50</v>
          </cell>
        </row>
        <row r="32">
          <cell r="A32" t="str">
            <v>パスワード</v>
          </cell>
          <cell r="B32" t="str">
            <v>CTユーザ情報</v>
          </cell>
          <cell r="C32" t="str">
            <v>CTユーザ会社名</v>
          </cell>
          <cell r="D32" t="str">
            <v>varchar</v>
          </cell>
          <cell r="E32">
            <v>10</v>
          </cell>
        </row>
        <row r="33">
          <cell r="A33" t="str">
            <v>表示位置</v>
          </cell>
          <cell r="B33" t="str">
            <v>CT帳票文言</v>
          </cell>
          <cell r="C33" t="str">
            <v>CTユーザ会社名</v>
          </cell>
          <cell r="D33" t="str">
            <v>varchar</v>
          </cell>
          <cell r="E33">
            <v>50</v>
          </cell>
        </row>
        <row r="34">
          <cell r="A34" t="str">
            <v>ファイル名</v>
          </cell>
          <cell r="B34" t="str">
            <v>CT出金FD</v>
          </cell>
          <cell r="C34" t="str">
            <v>CTユーザ会社名</v>
          </cell>
          <cell r="D34" t="str">
            <v>varchar</v>
          </cell>
          <cell r="E34">
            <v>255</v>
          </cell>
        </row>
        <row r="35">
          <cell r="A35" t="str">
            <v>マル優年齢</v>
          </cell>
          <cell r="B35" t="str">
            <v>CTユーザ会社名</v>
          </cell>
          <cell r="C35" t="str">
            <v>CTユーザ会社名</v>
          </cell>
          <cell r="D35" t="str">
            <v>int</v>
          </cell>
        </row>
        <row r="36">
          <cell r="A36" t="str">
            <v>メッセージ</v>
          </cell>
          <cell r="B36" t="str">
            <v>CTメッセージ</v>
          </cell>
          <cell r="C36" t="str">
            <v>CTユーザ会社名</v>
          </cell>
          <cell r="D36" t="str">
            <v>varchar</v>
          </cell>
          <cell r="E36">
            <v>255</v>
          </cell>
        </row>
        <row r="37">
          <cell r="A37" t="str">
            <v>メッセージコード</v>
          </cell>
          <cell r="B37" t="str">
            <v>CTメッセージ</v>
          </cell>
          <cell r="C37" t="str">
            <v>CTユーザ会社名</v>
          </cell>
          <cell r="D37" t="str">
            <v>varchar</v>
          </cell>
          <cell r="E37">
            <v>2</v>
          </cell>
        </row>
        <row r="38">
          <cell r="A38" t="str">
            <v>文言</v>
          </cell>
          <cell r="B38" t="str">
            <v>CT帳票文言</v>
          </cell>
          <cell r="C38" t="str">
            <v>CTユーザ会社名</v>
          </cell>
          <cell r="D38" t="str">
            <v>varchar</v>
          </cell>
          <cell r="E38">
            <v>255</v>
          </cell>
        </row>
        <row r="39">
          <cell r="A39" t="str">
            <v>ユーザID</v>
          </cell>
          <cell r="B39" t="str">
            <v>CTユーザ情報</v>
          </cell>
          <cell r="C39" t="str">
            <v>CTユーザ会社名</v>
          </cell>
          <cell r="D39" t="str">
            <v>varchar</v>
          </cell>
          <cell r="E39">
            <v>2</v>
          </cell>
        </row>
        <row r="40">
          <cell r="A40" t="str">
            <v>ユーザ権限</v>
          </cell>
          <cell r="B40" t="str">
            <v>CTユーザ情報</v>
          </cell>
          <cell r="C40" t="str">
            <v>CTユーザ会社名</v>
          </cell>
          <cell r="D40" t="str">
            <v>varchar</v>
          </cell>
          <cell r="E40">
            <v>20</v>
          </cell>
        </row>
        <row r="41">
          <cell r="A41" t="str">
            <v>ユーザ名</v>
          </cell>
          <cell r="B41" t="str">
            <v>CTユーザ会社名</v>
          </cell>
          <cell r="C41" t="str">
            <v>CTユーザ会社名</v>
          </cell>
          <cell r="D41" t="str">
            <v>varchar</v>
          </cell>
          <cell r="E41">
            <v>4</v>
          </cell>
        </row>
        <row r="42">
          <cell r="A42" t="str">
            <v>ユーザ名</v>
          </cell>
          <cell r="B42" t="str">
            <v>CTユーザ情報</v>
          </cell>
          <cell r="C42" t="str">
            <v>CTユーザ会社名</v>
          </cell>
          <cell r="D42" t="str">
            <v>varchar</v>
          </cell>
          <cell r="E42">
            <v>50</v>
          </cell>
        </row>
        <row r="43">
          <cell r="A43" t="str">
            <v>リアル処理実行中フラグ</v>
          </cell>
          <cell r="B43" t="str">
            <v>CTシステムステイタス</v>
          </cell>
          <cell r="C43" t="str">
            <v>CTユーザ会社名</v>
          </cell>
          <cell r="D43" t="str">
            <v>varchar</v>
          </cell>
          <cell r="E43">
            <v>13</v>
          </cell>
        </row>
        <row r="44">
          <cell r="A44" t="str">
            <v>リアル処理終了フラグ</v>
          </cell>
          <cell r="B44" t="str">
            <v>CTシステムステイタス</v>
          </cell>
          <cell r="C44" t="str">
            <v>CTユーザ会社名</v>
          </cell>
          <cell r="D44" t="str">
            <v>varchar</v>
          </cell>
          <cell r="E44">
            <v>13</v>
          </cell>
        </row>
        <row r="45">
          <cell r="A45" t="str">
            <v>リスク分類コード</v>
          </cell>
          <cell r="B45" t="str">
            <v>CTリスク分類</v>
          </cell>
          <cell r="C45" t="str">
            <v>CTユーザ会社名</v>
          </cell>
          <cell r="D45" t="str">
            <v>varchar</v>
          </cell>
          <cell r="E45">
            <v>12</v>
          </cell>
        </row>
        <row r="46">
          <cell r="A46" t="str">
            <v>レポート名</v>
          </cell>
          <cell r="B46" t="str">
            <v>CT帳票名</v>
          </cell>
          <cell r="C46" t="str">
            <v>CTユーザ会社名</v>
          </cell>
          <cell r="D46" t="str">
            <v>varchar</v>
          </cell>
          <cell r="E46">
            <v>50</v>
          </cell>
        </row>
        <row r="47">
          <cell r="A47" t="str">
            <v>ログインフラグ</v>
          </cell>
          <cell r="B47" t="str">
            <v>CTユーザ情報</v>
          </cell>
          <cell r="C47" t="str">
            <v>CTユーザ会社名</v>
          </cell>
          <cell r="D47" t="str">
            <v>bit</v>
          </cell>
        </row>
        <row r="48">
          <cell r="A48" t="str">
            <v>案内指定区分コード</v>
          </cell>
          <cell r="B48" t="str">
            <v>CT案内指定区分</v>
          </cell>
          <cell r="C48" t="str">
            <v>CTユーザ会社名</v>
          </cell>
          <cell r="D48" t="str">
            <v>varchar</v>
          </cell>
          <cell r="E48">
            <v>12</v>
          </cell>
        </row>
        <row r="49">
          <cell r="A49" t="str">
            <v>為替レート登録区分</v>
          </cell>
          <cell r="B49" t="str">
            <v>CTユーザ会社名</v>
          </cell>
          <cell r="C49" t="str">
            <v>CTユーザ会社名</v>
          </cell>
          <cell r="D49" t="str">
            <v>varchar</v>
          </cell>
          <cell r="E49">
            <v>2</v>
          </cell>
        </row>
        <row r="50">
          <cell r="A50" t="str">
            <v>移管方法</v>
          </cell>
          <cell r="B50" t="str">
            <v>CT移管</v>
          </cell>
          <cell r="C50" t="str">
            <v>CTユーザ会社名</v>
          </cell>
          <cell r="D50" t="str">
            <v>varchar</v>
          </cell>
          <cell r="E50">
            <v>32</v>
          </cell>
        </row>
        <row r="51">
          <cell r="A51" t="str">
            <v>印刷開始頁</v>
          </cell>
          <cell r="B51" t="str">
            <v>CT帳票名</v>
          </cell>
          <cell r="C51" t="str">
            <v>CTユーザ会社名</v>
          </cell>
          <cell r="D51" t="str">
            <v>int</v>
          </cell>
          <cell r="E51">
            <v>32</v>
          </cell>
        </row>
        <row r="52">
          <cell r="A52" t="str">
            <v>印刷区分</v>
          </cell>
          <cell r="B52" t="str">
            <v>CT帳票名</v>
          </cell>
          <cell r="C52" t="str">
            <v>CTユーザ会社名</v>
          </cell>
          <cell r="D52" t="str">
            <v>bit</v>
          </cell>
        </row>
        <row r="53">
          <cell r="A53" t="str">
            <v>印刷終了頁</v>
          </cell>
          <cell r="B53" t="str">
            <v>CT帳票名</v>
          </cell>
          <cell r="C53" t="str">
            <v>CTユーザ会社名</v>
          </cell>
          <cell r="D53" t="str">
            <v>int</v>
          </cell>
        </row>
        <row r="54">
          <cell r="A54" t="str">
            <v>科目コード</v>
          </cell>
          <cell r="B54" t="str">
            <v>CT科目</v>
          </cell>
          <cell r="C54" t="str">
            <v>CTユーザ会社名</v>
          </cell>
          <cell r="D54" t="str">
            <v>varchar</v>
          </cell>
          <cell r="E54">
            <v>20</v>
          </cell>
        </row>
        <row r="55">
          <cell r="A55" t="str">
            <v>開始年</v>
          </cell>
          <cell r="B55" t="str">
            <v>CT休日_月日指定</v>
          </cell>
          <cell r="C55" t="str">
            <v>CTユーザ会社名</v>
          </cell>
          <cell r="D55" t="str">
            <v>int</v>
          </cell>
        </row>
        <row r="56">
          <cell r="A56" t="str">
            <v>開始年</v>
          </cell>
          <cell r="B56" t="str">
            <v>CT休日_曜日指定</v>
          </cell>
          <cell r="C56" t="str">
            <v>CTユーザ情報</v>
          </cell>
          <cell r="D56" t="str">
            <v>int</v>
          </cell>
          <cell r="E56">
            <v>10</v>
          </cell>
        </row>
        <row r="57">
          <cell r="A57" t="str">
            <v>外貨MMFリアル処理</v>
          </cell>
          <cell r="B57" t="str">
            <v>CTユーザ会社名</v>
          </cell>
          <cell r="C57" t="str">
            <v>CTユーザ情報</v>
          </cell>
          <cell r="D57" t="str">
            <v>varchar</v>
          </cell>
          <cell r="E57">
            <v>2</v>
          </cell>
        </row>
        <row r="58">
          <cell r="A58" t="str">
            <v>外貨MMF買戻し対象</v>
          </cell>
          <cell r="B58" t="str">
            <v>CTユーザ会社名</v>
          </cell>
          <cell r="C58" t="str">
            <v>CTユーザ情報</v>
          </cell>
          <cell r="D58" t="str">
            <v>varchar</v>
          </cell>
          <cell r="E58">
            <v>2</v>
          </cell>
        </row>
        <row r="59">
          <cell r="A59" t="str">
            <v>外貨MMF分配金計算</v>
          </cell>
          <cell r="B59" t="str">
            <v>CTユーザ会社名</v>
          </cell>
          <cell r="C59" t="str">
            <v>CTユーザ情報</v>
          </cell>
          <cell r="D59" t="str">
            <v>varchar</v>
          </cell>
          <cell r="E59">
            <v>2</v>
          </cell>
        </row>
        <row r="60">
          <cell r="A60" t="str">
            <v>確認書類区分コード</v>
          </cell>
          <cell r="B60" t="str">
            <v>CT本人確認書類</v>
          </cell>
          <cell r="C60" t="str">
            <v>CTユーザ情報</v>
          </cell>
          <cell r="D60" t="str">
            <v>bit</v>
          </cell>
          <cell r="E60">
            <v>2</v>
          </cell>
        </row>
        <row r="61">
          <cell r="A61" t="str">
            <v>休日区分</v>
          </cell>
          <cell r="B61" t="str">
            <v>CT休日区分</v>
          </cell>
          <cell r="C61" t="str">
            <v>CTユーザ情報</v>
          </cell>
          <cell r="D61" t="str">
            <v>varchar</v>
          </cell>
          <cell r="E61">
            <v>3</v>
          </cell>
        </row>
        <row r="62">
          <cell r="A62" t="str">
            <v>休日区分</v>
          </cell>
          <cell r="B62" t="str">
            <v>CT休日_月日指定</v>
          </cell>
          <cell r="C62" t="str">
            <v>CTユーザ情報</v>
          </cell>
          <cell r="D62" t="str">
            <v>int</v>
          </cell>
          <cell r="E62">
            <v>50</v>
          </cell>
        </row>
        <row r="63">
          <cell r="A63" t="str">
            <v>休日再投資実行中フラグ</v>
          </cell>
          <cell r="B63" t="str">
            <v>CTシステムステイタス</v>
          </cell>
          <cell r="C63" t="str">
            <v>CTリスク分類</v>
          </cell>
          <cell r="D63" t="str">
            <v>bit</v>
          </cell>
          <cell r="E63">
            <v>2</v>
          </cell>
        </row>
        <row r="64">
          <cell r="A64" t="str">
            <v>局番桁数</v>
          </cell>
          <cell r="B64" t="str">
            <v>CT受託銀行</v>
          </cell>
          <cell r="C64" t="str">
            <v>CTリスク分類</v>
          </cell>
          <cell r="D64" t="str">
            <v>int</v>
          </cell>
          <cell r="E64">
            <v>50</v>
          </cell>
        </row>
        <row r="65">
          <cell r="A65" t="str">
            <v>局番桁数2</v>
          </cell>
          <cell r="B65" t="str">
            <v>CT受託銀行</v>
          </cell>
          <cell r="C65" t="str">
            <v>CT案内指定区分</v>
          </cell>
          <cell r="D65" t="str">
            <v>int</v>
          </cell>
          <cell r="E65">
            <v>2</v>
          </cell>
        </row>
        <row r="66">
          <cell r="A66" t="str">
            <v>銀行コード</v>
          </cell>
          <cell r="B66" t="str">
            <v>CT受託銀行</v>
          </cell>
          <cell r="C66" t="str">
            <v>CT案内指定区分</v>
          </cell>
          <cell r="D66" t="str">
            <v>varchar</v>
          </cell>
          <cell r="E66">
            <v>50</v>
          </cell>
        </row>
        <row r="67">
          <cell r="A67" t="str">
            <v>銀行名</v>
          </cell>
          <cell r="B67" t="str">
            <v>CT受託銀行</v>
          </cell>
          <cell r="C67" t="str">
            <v>CT移管</v>
          </cell>
          <cell r="D67" t="str">
            <v>varchar</v>
          </cell>
          <cell r="E67">
            <v>50</v>
          </cell>
        </row>
        <row r="68">
          <cell r="A68" t="str">
            <v>決済科目コード</v>
          </cell>
          <cell r="B68" t="str">
            <v>CT受託銀行</v>
          </cell>
          <cell r="C68" t="str">
            <v>CT移管</v>
          </cell>
          <cell r="D68" t="str">
            <v>varchar</v>
          </cell>
          <cell r="E68">
            <v>2</v>
          </cell>
        </row>
        <row r="69">
          <cell r="A69" t="str">
            <v>決済科目コード</v>
          </cell>
          <cell r="B69" t="str">
            <v>CT投信会社</v>
          </cell>
          <cell r="C69" t="str">
            <v>CT科目</v>
          </cell>
          <cell r="D69" t="str">
            <v>varchar</v>
          </cell>
          <cell r="E69">
            <v>2</v>
          </cell>
        </row>
        <row r="70">
          <cell r="A70" t="str">
            <v>決済銀行コード</v>
          </cell>
          <cell r="B70" t="str">
            <v>CT決済銀行</v>
          </cell>
          <cell r="C70" t="str">
            <v>CT科目</v>
          </cell>
          <cell r="D70" t="str">
            <v>varchar</v>
          </cell>
          <cell r="E70">
            <v>4</v>
          </cell>
        </row>
        <row r="71">
          <cell r="A71" t="str">
            <v>決済銀行コード</v>
          </cell>
          <cell r="B71" t="str">
            <v>CT決済銀行支店</v>
          </cell>
          <cell r="C71" t="str">
            <v>CT科目</v>
          </cell>
          <cell r="D71" t="str">
            <v>varchar</v>
          </cell>
          <cell r="E71">
            <v>10</v>
          </cell>
        </row>
        <row r="72">
          <cell r="A72" t="str">
            <v>決済銀行コード</v>
          </cell>
          <cell r="B72" t="str">
            <v>CT受託銀行</v>
          </cell>
          <cell r="C72" t="str">
            <v>CT休日_月日指定</v>
          </cell>
          <cell r="D72" t="str">
            <v>varchar</v>
          </cell>
          <cell r="E72">
            <v>4</v>
          </cell>
        </row>
        <row r="73">
          <cell r="A73" t="str">
            <v>決済銀行コード</v>
          </cell>
          <cell r="B73" t="str">
            <v>CT投信会社</v>
          </cell>
          <cell r="C73" t="str">
            <v>CT休日_月日指定</v>
          </cell>
          <cell r="D73" t="str">
            <v>varchar</v>
          </cell>
          <cell r="E73">
            <v>4</v>
          </cell>
        </row>
        <row r="74">
          <cell r="A74" t="str">
            <v>決済銀行支店コード</v>
          </cell>
          <cell r="B74" t="str">
            <v>CT決済銀行支店</v>
          </cell>
          <cell r="C74" t="str">
            <v>CT休日_月日指定</v>
          </cell>
          <cell r="D74" t="str">
            <v>int</v>
          </cell>
          <cell r="E74">
            <v>4</v>
          </cell>
        </row>
        <row r="75">
          <cell r="A75" t="str">
            <v>決済銀行支店名</v>
          </cell>
          <cell r="B75" t="str">
            <v>CT決済銀行支店</v>
          </cell>
          <cell r="C75" t="str">
            <v>CT休日_月日指定</v>
          </cell>
          <cell r="D75" t="str">
            <v>varchar</v>
          </cell>
          <cell r="E75">
            <v>50</v>
          </cell>
        </row>
        <row r="76">
          <cell r="A76" t="str">
            <v>決済銀行名</v>
          </cell>
          <cell r="B76" t="str">
            <v>CT決済銀行</v>
          </cell>
          <cell r="C76" t="str">
            <v>CT休日_月日指定</v>
          </cell>
          <cell r="D76" t="str">
            <v>varchar</v>
          </cell>
          <cell r="E76">
            <v>50</v>
          </cell>
        </row>
        <row r="77">
          <cell r="A77" t="str">
            <v>決済口座番号</v>
          </cell>
          <cell r="B77" t="str">
            <v>CT受託銀行</v>
          </cell>
          <cell r="C77" t="str">
            <v>CT休日_月日指定</v>
          </cell>
          <cell r="D77" t="str">
            <v>varchar</v>
          </cell>
          <cell r="E77">
            <v>10</v>
          </cell>
        </row>
        <row r="78">
          <cell r="A78" t="str">
            <v>決済口座番号</v>
          </cell>
          <cell r="B78" t="str">
            <v>CT投信会社</v>
          </cell>
          <cell r="C78" t="str">
            <v>CT休日_春分秋分</v>
          </cell>
          <cell r="D78" t="str">
            <v>varchar</v>
          </cell>
          <cell r="E78">
            <v>10</v>
          </cell>
        </row>
        <row r="79">
          <cell r="A79" t="str">
            <v>決済支店コード</v>
          </cell>
          <cell r="B79" t="str">
            <v>CT受託銀行</v>
          </cell>
          <cell r="C79" t="str">
            <v>CT休日_春分秋分</v>
          </cell>
          <cell r="D79" t="str">
            <v>varchar</v>
          </cell>
          <cell r="E79">
            <v>3</v>
          </cell>
        </row>
        <row r="80">
          <cell r="A80" t="str">
            <v>決済支店コード</v>
          </cell>
          <cell r="B80" t="str">
            <v>CT投信会社</v>
          </cell>
          <cell r="C80" t="str">
            <v>CT休日_曜日指定</v>
          </cell>
          <cell r="D80" t="str">
            <v>varchar</v>
          </cell>
          <cell r="E80">
            <v>3</v>
          </cell>
        </row>
        <row r="81">
          <cell r="A81" t="str">
            <v>月</v>
          </cell>
          <cell r="B81" t="str">
            <v>CT休日_月日指定</v>
          </cell>
          <cell r="C81" t="str">
            <v>○</v>
          </cell>
          <cell r="D81" t="str">
            <v>int</v>
          </cell>
        </row>
        <row r="82">
          <cell r="A82" t="str">
            <v>月</v>
          </cell>
          <cell r="B82" t="str">
            <v>CT休日_曜日指定</v>
          </cell>
          <cell r="C82" t="str">
            <v>○</v>
          </cell>
          <cell r="D82" t="str">
            <v>int</v>
          </cell>
        </row>
        <row r="83">
          <cell r="A83" t="str">
            <v>肩書区分コード</v>
          </cell>
          <cell r="B83" t="str">
            <v>CT肩書区分</v>
          </cell>
          <cell r="C83" t="str">
            <v>CT休日_曜日指定</v>
          </cell>
          <cell r="D83" t="str">
            <v>int</v>
          </cell>
          <cell r="E83">
            <v>2</v>
          </cell>
        </row>
        <row r="84">
          <cell r="A84" t="str">
            <v>呼称_科目</v>
          </cell>
          <cell r="B84" t="str">
            <v>CTユーザ会社名</v>
          </cell>
          <cell r="C84" t="str">
            <v>CT休日_曜日指定</v>
          </cell>
          <cell r="D84" t="str">
            <v>varchar</v>
          </cell>
          <cell r="E84">
            <v>4</v>
          </cell>
        </row>
        <row r="85">
          <cell r="A85" t="str">
            <v>呼称_口座番号</v>
          </cell>
          <cell r="B85" t="str">
            <v>CTユーザ会社名</v>
          </cell>
          <cell r="C85" t="str">
            <v>CT休日_曜日指定</v>
          </cell>
          <cell r="D85" t="str">
            <v>varchar</v>
          </cell>
          <cell r="E85">
            <v>8</v>
          </cell>
        </row>
        <row r="86">
          <cell r="A86" t="str">
            <v>呼称_支店</v>
          </cell>
          <cell r="B86" t="str">
            <v>CTユーザ会社名</v>
          </cell>
          <cell r="C86" t="str">
            <v>CT休日区分</v>
          </cell>
          <cell r="D86" t="str">
            <v>varchar</v>
          </cell>
          <cell r="E86">
            <v>8</v>
          </cell>
        </row>
        <row r="87">
          <cell r="A87" t="str">
            <v>顧客コード体系</v>
          </cell>
          <cell r="B87" t="str">
            <v>CTユーザ会社名</v>
          </cell>
          <cell r="C87" t="str">
            <v>CT休日区分</v>
          </cell>
          <cell r="D87" t="str">
            <v>varchar</v>
          </cell>
          <cell r="E87">
            <v>2</v>
          </cell>
        </row>
        <row r="88">
          <cell r="A88" t="str">
            <v>公社債_株式</v>
          </cell>
          <cell r="B88" t="str">
            <v>CT有価証券取引税</v>
          </cell>
          <cell r="C88" t="str">
            <v>CT休日区分</v>
          </cell>
          <cell r="D88" t="str">
            <v>varchar</v>
          </cell>
          <cell r="E88">
            <v>20</v>
          </cell>
        </row>
        <row r="89">
          <cell r="A89" t="str">
            <v>口座ステイタス区分コード</v>
          </cell>
          <cell r="B89" t="str">
            <v>CT口座ステイタス</v>
          </cell>
          <cell r="C89" t="str">
            <v>○</v>
          </cell>
          <cell r="D89" t="str">
            <v>varchar</v>
          </cell>
          <cell r="E89">
            <v>2</v>
          </cell>
        </row>
        <row r="90">
          <cell r="A90" t="str">
            <v>更新年月日</v>
          </cell>
          <cell r="B90" t="str">
            <v>CTテーブル更新情報</v>
          </cell>
          <cell r="C90" t="str">
            <v>CT決済銀行</v>
          </cell>
          <cell r="D90" t="str">
            <v>datetime</v>
          </cell>
          <cell r="E90">
            <v>15</v>
          </cell>
        </row>
        <row r="91">
          <cell r="A91" t="str">
            <v>項番</v>
          </cell>
          <cell r="B91" t="str">
            <v>CT出金FD</v>
          </cell>
          <cell r="C91" t="str">
            <v>CT決済銀行</v>
          </cell>
          <cell r="D91" t="str">
            <v>varchar</v>
          </cell>
          <cell r="E91">
            <v>50</v>
          </cell>
        </row>
        <row r="92">
          <cell r="A92" t="str">
            <v>項番</v>
          </cell>
          <cell r="B92" t="str">
            <v>CT帳面文言</v>
          </cell>
          <cell r="C92" t="str">
            <v>○</v>
          </cell>
          <cell r="D92" t="str">
            <v>int</v>
          </cell>
          <cell r="E92">
            <v>4</v>
          </cell>
        </row>
        <row r="93">
          <cell r="A93" t="str">
            <v>使用システム</v>
          </cell>
          <cell r="B93" t="str">
            <v>CTユーザ会社名</v>
          </cell>
          <cell r="C93" t="str">
            <v>CT決済銀行支店</v>
          </cell>
          <cell r="D93" t="str">
            <v>varchar</v>
          </cell>
          <cell r="E93">
            <v>12</v>
          </cell>
        </row>
        <row r="94">
          <cell r="A94" t="str">
            <v>市外局番桁数</v>
          </cell>
          <cell r="B94" t="str">
            <v>CT受託銀行</v>
          </cell>
          <cell r="C94" t="str">
            <v>CT決済銀行支店</v>
          </cell>
          <cell r="D94" t="str">
            <v>int</v>
          </cell>
          <cell r="E94">
            <v>15</v>
          </cell>
        </row>
        <row r="95">
          <cell r="A95" t="str">
            <v>市外局番桁数2</v>
          </cell>
          <cell r="B95" t="str">
            <v>CT受託銀行</v>
          </cell>
          <cell r="C95" t="str">
            <v>CT決済銀行支店</v>
          </cell>
          <cell r="D95" t="str">
            <v>int</v>
          </cell>
          <cell r="E95">
            <v>50</v>
          </cell>
        </row>
        <row r="96">
          <cell r="A96" t="str">
            <v>市区町村コード</v>
          </cell>
          <cell r="B96" t="str">
            <v>CT市区町村</v>
          </cell>
          <cell r="C96" t="str">
            <v>○</v>
          </cell>
          <cell r="D96" t="str">
            <v>varchar</v>
          </cell>
          <cell r="E96">
            <v>3</v>
          </cell>
        </row>
        <row r="97">
          <cell r="A97" t="str">
            <v>市区町村コード</v>
          </cell>
          <cell r="B97" t="str">
            <v>CT支店</v>
          </cell>
          <cell r="C97" t="str">
            <v>CT肩書区分</v>
          </cell>
          <cell r="D97" t="str">
            <v>varchar</v>
          </cell>
          <cell r="E97">
            <v>3</v>
          </cell>
        </row>
        <row r="98">
          <cell r="A98" t="str">
            <v>市区町村名</v>
          </cell>
          <cell r="B98" t="str">
            <v>CT市区町村</v>
          </cell>
          <cell r="C98" t="str">
            <v>CT口座ステイタス</v>
          </cell>
          <cell r="D98" t="str">
            <v>varchar</v>
          </cell>
          <cell r="E98">
            <v>50</v>
          </cell>
        </row>
        <row r="99">
          <cell r="A99" t="str">
            <v>市区町村名</v>
          </cell>
          <cell r="B99" t="str">
            <v>CT郵便番号</v>
          </cell>
          <cell r="C99" t="str">
            <v>CT口座ステイタス</v>
          </cell>
          <cell r="D99" t="str">
            <v>varchar</v>
          </cell>
          <cell r="E99">
            <v>50</v>
          </cell>
        </row>
        <row r="100">
          <cell r="A100" t="str">
            <v>支店コード</v>
          </cell>
          <cell r="B100" t="str">
            <v>CT支店</v>
          </cell>
          <cell r="C100" t="str">
            <v>○</v>
          </cell>
          <cell r="D100" t="str">
            <v>varchar</v>
          </cell>
          <cell r="E100">
            <v>3</v>
          </cell>
        </row>
        <row r="101">
          <cell r="A101" t="str">
            <v>支店出力</v>
          </cell>
          <cell r="B101" t="str">
            <v>CT帳票名</v>
          </cell>
          <cell r="C101" t="str">
            <v>CT市区町村</v>
          </cell>
          <cell r="D101" t="str">
            <v>bit</v>
          </cell>
          <cell r="E101">
            <v>2</v>
          </cell>
        </row>
        <row r="102">
          <cell r="A102" t="str">
            <v>支店名</v>
          </cell>
          <cell r="B102" t="str">
            <v>CT支店</v>
          </cell>
          <cell r="C102" t="str">
            <v>CT市区町村</v>
          </cell>
          <cell r="D102" t="str">
            <v>varchar</v>
          </cell>
          <cell r="E102">
            <v>50</v>
          </cell>
        </row>
        <row r="103">
          <cell r="A103" t="str">
            <v>資金性格区分コード</v>
          </cell>
          <cell r="B103" t="str">
            <v>CT資金性格</v>
          </cell>
          <cell r="C103" t="str">
            <v>○</v>
          </cell>
          <cell r="D103" t="str">
            <v>varchar</v>
          </cell>
          <cell r="E103">
            <v>2</v>
          </cell>
        </row>
        <row r="104">
          <cell r="A104" t="str">
            <v>社印表示</v>
          </cell>
          <cell r="B104" t="str">
            <v>CTユーザ会社名</v>
          </cell>
          <cell r="C104" t="str">
            <v>CT支店</v>
          </cell>
          <cell r="D104" t="str">
            <v>bit</v>
          </cell>
          <cell r="E104">
            <v>20</v>
          </cell>
        </row>
        <row r="105">
          <cell r="A105" t="str">
            <v>社名表示</v>
          </cell>
          <cell r="B105" t="str">
            <v>CTユーザ会社名</v>
          </cell>
          <cell r="C105" t="str">
            <v>CT支店</v>
          </cell>
          <cell r="D105" t="str">
            <v>bit</v>
          </cell>
          <cell r="E105">
            <v>3</v>
          </cell>
        </row>
        <row r="106">
          <cell r="A106" t="str">
            <v>取扱店コード</v>
          </cell>
          <cell r="B106" t="str">
            <v>CTユーザ情報</v>
          </cell>
          <cell r="C106" t="str">
            <v>CT支店</v>
          </cell>
          <cell r="D106" t="str">
            <v>varchar</v>
          </cell>
          <cell r="E106">
            <v>3</v>
          </cell>
        </row>
        <row r="107">
          <cell r="A107" t="str">
            <v>取引動機区分コード</v>
          </cell>
          <cell r="B107" t="str">
            <v>CT取引動機</v>
          </cell>
          <cell r="C107" t="str">
            <v>CT支店</v>
          </cell>
          <cell r="D107" t="str">
            <v>varchar</v>
          </cell>
          <cell r="E107">
            <v>12</v>
          </cell>
        </row>
        <row r="108">
          <cell r="A108" t="str">
            <v>取引方式区分コード</v>
          </cell>
          <cell r="B108" t="str">
            <v>CT取引方式区分</v>
          </cell>
          <cell r="C108" t="str">
            <v>CT支店</v>
          </cell>
          <cell r="D108" t="str">
            <v>varchar</v>
          </cell>
          <cell r="E108">
            <v>32</v>
          </cell>
        </row>
        <row r="109">
          <cell r="A109" t="str">
            <v>終了年</v>
          </cell>
          <cell r="B109" t="str">
            <v>CT休日_月日指定</v>
          </cell>
          <cell r="C109" t="str">
            <v>CT支店</v>
          </cell>
          <cell r="D109" t="str">
            <v>int</v>
          </cell>
          <cell r="E109">
            <v>32</v>
          </cell>
        </row>
        <row r="110">
          <cell r="A110" t="str">
            <v>終了年</v>
          </cell>
          <cell r="B110" t="str">
            <v>CT休日_曜日指定</v>
          </cell>
          <cell r="C110" t="str">
            <v>CT支店</v>
          </cell>
          <cell r="D110" t="str">
            <v>int</v>
          </cell>
          <cell r="E110">
            <v>80</v>
          </cell>
        </row>
        <row r="111">
          <cell r="A111" t="str">
            <v>週</v>
          </cell>
          <cell r="B111" t="str">
            <v>CT休日_曜日指定</v>
          </cell>
          <cell r="C111" t="str">
            <v>CT支店</v>
          </cell>
          <cell r="D111" t="str">
            <v>varchar</v>
          </cell>
          <cell r="E111">
            <v>20</v>
          </cell>
        </row>
        <row r="112">
          <cell r="A112" t="str">
            <v>住所1</v>
          </cell>
          <cell r="B112" t="str">
            <v>CTユーザ会社名</v>
          </cell>
          <cell r="C112" t="str">
            <v>CT支店</v>
          </cell>
          <cell r="D112" t="str">
            <v>varchar</v>
          </cell>
          <cell r="E112">
            <v>12</v>
          </cell>
        </row>
        <row r="113">
          <cell r="A113" t="str">
            <v>住所1</v>
          </cell>
          <cell r="B113" t="str">
            <v>CT支店</v>
          </cell>
          <cell r="C113" t="str">
            <v>CT支店</v>
          </cell>
          <cell r="D113" t="str">
            <v>varchar</v>
          </cell>
          <cell r="E113">
            <v>12</v>
          </cell>
        </row>
        <row r="114">
          <cell r="A114" t="str">
            <v>住所1</v>
          </cell>
          <cell r="B114" t="str">
            <v>CT住所</v>
          </cell>
          <cell r="C114" t="str">
            <v>CT支店</v>
          </cell>
          <cell r="D114" t="str">
            <v>varchar</v>
          </cell>
          <cell r="E114">
            <v>12</v>
          </cell>
        </row>
        <row r="115">
          <cell r="A115" t="str">
            <v>住所2</v>
          </cell>
          <cell r="B115" t="str">
            <v>CTユーザ会社名</v>
          </cell>
          <cell r="C115" t="str">
            <v>CT資金性格</v>
          </cell>
          <cell r="D115" t="str">
            <v>varchar</v>
          </cell>
          <cell r="E115">
            <v>32</v>
          </cell>
        </row>
        <row r="116">
          <cell r="A116" t="str">
            <v>住所2</v>
          </cell>
          <cell r="B116" t="str">
            <v>CT支店</v>
          </cell>
          <cell r="C116" t="str">
            <v>CT資金性格</v>
          </cell>
          <cell r="D116" t="str">
            <v>varchar</v>
          </cell>
          <cell r="E116">
            <v>32</v>
          </cell>
        </row>
        <row r="117">
          <cell r="A117" t="str">
            <v>住所2</v>
          </cell>
          <cell r="B117" t="str">
            <v>CT住所</v>
          </cell>
          <cell r="C117" t="str">
            <v>CT取引動機</v>
          </cell>
          <cell r="D117" t="str">
            <v>varchar</v>
          </cell>
          <cell r="E117">
            <v>32</v>
          </cell>
        </row>
        <row r="118">
          <cell r="A118" t="str">
            <v>住所3</v>
          </cell>
          <cell r="B118" t="str">
            <v>CTユーザ会社名</v>
          </cell>
          <cell r="C118" t="str">
            <v>CT取引動機</v>
          </cell>
          <cell r="D118" t="str">
            <v>varchar</v>
          </cell>
          <cell r="E118">
            <v>32</v>
          </cell>
        </row>
        <row r="119">
          <cell r="A119" t="str">
            <v>住所3</v>
          </cell>
          <cell r="B119" t="str">
            <v>CT支店</v>
          </cell>
          <cell r="C119" t="str">
            <v>CT取引方式区分</v>
          </cell>
          <cell r="D119" t="str">
            <v>varchar</v>
          </cell>
          <cell r="E119">
            <v>32</v>
          </cell>
        </row>
        <row r="120">
          <cell r="A120" t="str">
            <v>住所3</v>
          </cell>
          <cell r="B120" t="str">
            <v>CT住所</v>
          </cell>
          <cell r="C120" t="str">
            <v>CT取引方式区分</v>
          </cell>
          <cell r="D120" t="str">
            <v>varchar</v>
          </cell>
          <cell r="E120">
            <v>32</v>
          </cell>
        </row>
        <row r="121">
          <cell r="A121" t="str">
            <v>住所4</v>
          </cell>
          <cell r="B121" t="str">
            <v>CTユーザ会社名</v>
          </cell>
          <cell r="C121" t="str">
            <v>CT受託銀行</v>
          </cell>
          <cell r="D121" t="str">
            <v>varchar</v>
          </cell>
          <cell r="E121">
            <v>32</v>
          </cell>
        </row>
        <row r="122">
          <cell r="A122" t="str">
            <v>住所4</v>
          </cell>
          <cell r="B122" t="str">
            <v>CT支店</v>
          </cell>
          <cell r="C122" t="str">
            <v>CT受託銀行</v>
          </cell>
          <cell r="D122" t="str">
            <v>varchar</v>
          </cell>
          <cell r="E122">
            <v>80</v>
          </cell>
        </row>
        <row r="123">
          <cell r="A123" t="str">
            <v>住所4</v>
          </cell>
          <cell r="B123" t="str">
            <v>CT住所</v>
          </cell>
          <cell r="C123" t="str">
            <v>CT受託銀行</v>
          </cell>
          <cell r="D123" t="str">
            <v>varchar</v>
          </cell>
          <cell r="E123">
            <v>80</v>
          </cell>
        </row>
        <row r="124">
          <cell r="A124" t="str">
            <v>住所コード</v>
          </cell>
          <cell r="B124" t="str">
            <v>CT住所</v>
          </cell>
          <cell r="C124" t="str">
            <v>CT受託銀行</v>
          </cell>
          <cell r="D124" t="str">
            <v>varchar</v>
          </cell>
          <cell r="E124">
            <v>20</v>
          </cell>
        </row>
        <row r="125">
          <cell r="A125" t="str">
            <v>住所コード</v>
          </cell>
          <cell r="B125" t="str">
            <v>CT支店</v>
          </cell>
          <cell r="C125" t="str">
            <v>CT受託銀行</v>
          </cell>
          <cell r="D125" t="str">
            <v>varchar</v>
          </cell>
          <cell r="E125">
            <v>20</v>
          </cell>
        </row>
        <row r="126">
          <cell r="A126" t="str">
            <v>出力フラグ</v>
          </cell>
          <cell r="B126" t="str">
            <v>CT出金FD</v>
          </cell>
          <cell r="C126" t="str">
            <v>CT受託銀行</v>
          </cell>
          <cell r="D126" t="str">
            <v>bit</v>
          </cell>
          <cell r="E126">
            <v>30</v>
          </cell>
        </row>
        <row r="127">
          <cell r="A127" t="str">
            <v>出力年月日</v>
          </cell>
          <cell r="B127" t="str">
            <v>CT出金FD</v>
          </cell>
          <cell r="C127" t="str">
            <v>CT受託銀行</v>
          </cell>
          <cell r="D127" t="str">
            <v>datetime</v>
          </cell>
        </row>
        <row r="128">
          <cell r="A128" t="str">
            <v>処理年月日</v>
          </cell>
          <cell r="B128" t="str">
            <v>CTシステムステイタス</v>
          </cell>
          <cell r="C128" t="str">
            <v>CT受託銀行</v>
          </cell>
          <cell r="D128" t="str">
            <v>int</v>
          </cell>
        </row>
        <row r="129">
          <cell r="A129" t="str">
            <v>所属</v>
          </cell>
          <cell r="B129" t="str">
            <v>CTユーザ情報</v>
          </cell>
          <cell r="C129" t="str">
            <v>CT受託銀行</v>
          </cell>
          <cell r="D129" t="str">
            <v>varchar</v>
          </cell>
          <cell r="E129">
            <v>50</v>
          </cell>
        </row>
        <row r="130">
          <cell r="A130" t="str">
            <v>所得税率</v>
          </cell>
          <cell r="B130" t="str">
            <v>CT税区分</v>
          </cell>
          <cell r="C130" t="str">
            <v>CT受託銀行</v>
          </cell>
          <cell r="D130" t="str">
            <v>money</v>
          </cell>
          <cell r="E130">
            <v>2</v>
          </cell>
        </row>
        <row r="131">
          <cell r="A131" t="str">
            <v>消費税率</v>
          </cell>
          <cell r="B131" t="str">
            <v>CT消費税率</v>
          </cell>
          <cell r="C131" t="str">
            <v>CT受託銀行</v>
          </cell>
          <cell r="D131" t="str">
            <v>money</v>
          </cell>
          <cell r="E131">
            <v>4</v>
          </cell>
        </row>
        <row r="132">
          <cell r="A132" t="str">
            <v>職業区分コード</v>
          </cell>
          <cell r="B132" t="str">
            <v>CT職業区分</v>
          </cell>
          <cell r="C132" t="str">
            <v>CT受託銀行</v>
          </cell>
          <cell r="D132" t="str">
            <v>varchar</v>
          </cell>
          <cell r="E132">
            <v>10</v>
          </cell>
        </row>
        <row r="133">
          <cell r="A133" t="str">
            <v>税区分コード</v>
          </cell>
          <cell r="B133" t="str">
            <v>CT税区分</v>
          </cell>
          <cell r="C133" t="str">
            <v>CT受託銀行</v>
          </cell>
          <cell r="D133" t="str">
            <v>varchar</v>
          </cell>
          <cell r="E133">
            <v>3</v>
          </cell>
        </row>
        <row r="134">
          <cell r="A134" t="str">
            <v>総限度額</v>
          </cell>
          <cell r="B134" t="str">
            <v>CTユーザ会社名</v>
          </cell>
          <cell r="C134" t="str">
            <v>CT受託銀行</v>
          </cell>
          <cell r="D134" t="str">
            <v>money</v>
          </cell>
        </row>
        <row r="135">
          <cell r="A135" t="str">
            <v>代行証券会社名</v>
          </cell>
          <cell r="B135" t="str">
            <v>CT代行証券会社</v>
          </cell>
          <cell r="C135" t="str">
            <v>CT受託銀行</v>
          </cell>
          <cell r="D135" t="str">
            <v>varchar</v>
          </cell>
          <cell r="E135">
            <v>50</v>
          </cell>
        </row>
        <row r="136">
          <cell r="A136" t="str">
            <v>地方税率</v>
          </cell>
          <cell r="B136" t="str">
            <v>CT税区分</v>
          </cell>
          <cell r="C136" t="str">
            <v>CT受託銀行</v>
          </cell>
          <cell r="D136" t="str">
            <v>money</v>
          </cell>
          <cell r="E136">
            <v>20</v>
          </cell>
        </row>
        <row r="137">
          <cell r="A137" t="str">
            <v>抽出条件</v>
          </cell>
          <cell r="B137" t="str">
            <v>CT帳票名</v>
          </cell>
          <cell r="C137" t="str">
            <v>CT受託銀行</v>
          </cell>
          <cell r="D137" t="str">
            <v>varchar</v>
          </cell>
          <cell r="E137">
            <v>255</v>
          </cell>
        </row>
        <row r="138">
          <cell r="A138" t="str">
            <v>帳票キー</v>
          </cell>
          <cell r="B138" t="str">
            <v>CT帳面文言</v>
          </cell>
          <cell r="C138" t="str">
            <v>CT受託銀行</v>
          </cell>
          <cell r="D138" t="str">
            <v>varchar</v>
          </cell>
          <cell r="E138">
            <v>2</v>
          </cell>
        </row>
        <row r="139">
          <cell r="A139" t="str">
            <v>帳票管理番号</v>
          </cell>
          <cell r="B139" t="str">
            <v>CT帳票名</v>
          </cell>
          <cell r="C139" t="str">
            <v>CT受託銀行</v>
          </cell>
          <cell r="D139" t="str">
            <v>varchar</v>
          </cell>
          <cell r="E139">
            <v>20</v>
          </cell>
        </row>
        <row r="140">
          <cell r="A140" t="str">
            <v>帳票区分</v>
          </cell>
          <cell r="B140" t="str">
            <v>CT帳票名</v>
          </cell>
          <cell r="C140" t="str">
            <v>CT受託銀行</v>
          </cell>
          <cell r="D140" t="str">
            <v>int</v>
          </cell>
          <cell r="E140">
            <v>10</v>
          </cell>
        </row>
        <row r="141">
          <cell r="A141" t="str">
            <v>帳票項番</v>
          </cell>
          <cell r="B141" t="str">
            <v>CT帳票名</v>
          </cell>
          <cell r="C141" t="str">
            <v>CT受託銀行</v>
          </cell>
          <cell r="D141" t="str">
            <v>varchar</v>
          </cell>
          <cell r="E141">
            <v>255</v>
          </cell>
        </row>
        <row r="142">
          <cell r="A142" t="str">
            <v>帳票名</v>
          </cell>
          <cell r="B142" t="str">
            <v>CT帳面文言</v>
          </cell>
          <cell r="C142" t="str">
            <v>CT受託銀行</v>
          </cell>
          <cell r="D142" t="str">
            <v>varchar</v>
          </cell>
          <cell r="E142">
            <v>50</v>
          </cell>
        </row>
        <row r="143">
          <cell r="A143" t="str">
            <v>帳票名</v>
          </cell>
          <cell r="B143" t="str">
            <v>CT帳票名</v>
          </cell>
          <cell r="C143" t="str">
            <v>CT受託銀行</v>
          </cell>
          <cell r="D143" t="str">
            <v>varchar</v>
          </cell>
          <cell r="E143">
            <v>50</v>
          </cell>
        </row>
        <row r="144">
          <cell r="A144" t="str">
            <v>帳面文言</v>
          </cell>
          <cell r="B144" t="str">
            <v>CT科目</v>
          </cell>
          <cell r="C144" t="str">
            <v>CT住所</v>
          </cell>
          <cell r="D144" t="str">
            <v>varchar</v>
          </cell>
          <cell r="E144">
            <v>4</v>
          </cell>
        </row>
        <row r="145">
          <cell r="A145" t="str">
            <v>町域名</v>
          </cell>
          <cell r="B145" t="str">
            <v>CT郵便番号</v>
          </cell>
          <cell r="C145" t="str">
            <v>CT住所</v>
          </cell>
          <cell r="D145" t="str">
            <v>varchar</v>
          </cell>
          <cell r="E145">
            <v>128</v>
          </cell>
        </row>
        <row r="146">
          <cell r="A146" t="str">
            <v>定残出力間隔</v>
          </cell>
          <cell r="B146" t="str">
            <v>CTユーザ会社名</v>
          </cell>
          <cell r="C146" t="str">
            <v>CT住所</v>
          </cell>
          <cell r="D146" t="str">
            <v>int</v>
          </cell>
          <cell r="E146">
            <v>32</v>
          </cell>
        </row>
        <row r="147">
          <cell r="A147" t="str">
            <v>締ステイタス</v>
          </cell>
          <cell r="B147" t="str">
            <v>CTシステムステイタス</v>
          </cell>
          <cell r="C147" t="str">
            <v>CT住所</v>
          </cell>
          <cell r="D147" t="str">
            <v>bit</v>
          </cell>
          <cell r="E147">
            <v>32</v>
          </cell>
        </row>
        <row r="148">
          <cell r="A148" t="str">
            <v>締実行中フラグ</v>
          </cell>
          <cell r="B148" t="str">
            <v>CTシステムステイタス</v>
          </cell>
          <cell r="C148" t="str">
            <v>CT住所</v>
          </cell>
          <cell r="D148" t="str">
            <v>bit</v>
          </cell>
          <cell r="E148">
            <v>80</v>
          </cell>
        </row>
        <row r="149">
          <cell r="A149" t="str">
            <v>摘要</v>
          </cell>
          <cell r="B149" t="str">
            <v>CTMMF分配金計算</v>
          </cell>
          <cell r="C149" t="str">
            <v>CT出金FD</v>
          </cell>
          <cell r="D149" t="str">
            <v>varchar</v>
          </cell>
          <cell r="E149">
            <v>20</v>
          </cell>
        </row>
        <row r="150">
          <cell r="A150" t="str">
            <v>摘要</v>
          </cell>
          <cell r="B150" t="str">
            <v>CT買戻し対象</v>
          </cell>
          <cell r="C150" t="str">
            <v>CT出金FD</v>
          </cell>
          <cell r="D150" t="str">
            <v>varchar</v>
          </cell>
          <cell r="E150">
            <v>20</v>
          </cell>
        </row>
        <row r="151">
          <cell r="A151" t="str">
            <v>摘要</v>
          </cell>
          <cell r="B151" t="str">
            <v>CT為替レート登録区分</v>
          </cell>
          <cell r="C151" t="str">
            <v>CT出金FD</v>
          </cell>
          <cell r="D151" t="str">
            <v>varchar</v>
          </cell>
          <cell r="E151">
            <v>20</v>
          </cell>
        </row>
        <row r="152">
          <cell r="A152" t="str">
            <v>摘要</v>
          </cell>
          <cell r="B152" t="str">
            <v>CT決済区分</v>
          </cell>
          <cell r="C152" t="str">
            <v>CT出金FD</v>
          </cell>
          <cell r="D152" t="str">
            <v>varchar</v>
          </cell>
          <cell r="E152">
            <v>20</v>
          </cell>
        </row>
        <row r="153">
          <cell r="A153" t="str">
            <v>摘要</v>
          </cell>
          <cell r="B153" t="str">
            <v>CTシステムコード</v>
          </cell>
          <cell r="C153" t="str">
            <v>CT出金FD</v>
          </cell>
          <cell r="D153" t="str">
            <v>varchar</v>
          </cell>
          <cell r="E153">
            <v>40</v>
          </cell>
        </row>
        <row r="154">
          <cell r="A154" t="str">
            <v>摘要</v>
          </cell>
          <cell r="B154" t="str">
            <v>CTリスク分類</v>
          </cell>
          <cell r="C154" t="str">
            <v>CT消費税率</v>
          </cell>
          <cell r="D154" t="str">
            <v>varchar</v>
          </cell>
          <cell r="E154">
            <v>50</v>
          </cell>
        </row>
        <row r="155">
          <cell r="A155" t="str">
            <v>摘要</v>
          </cell>
          <cell r="B155" t="str">
            <v>CT案内指定区分</v>
          </cell>
          <cell r="C155" t="str">
            <v>CT消費税率</v>
          </cell>
          <cell r="D155" t="str">
            <v>varchar</v>
          </cell>
          <cell r="E155">
            <v>50</v>
          </cell>
        </row>
        <row r="156">
          <cell r="A156" t="str">
            <v>摘要</v>
          </cell>
          <cell r="B156" t="str">
            <v>CT移管</v>
          </cell>
          <cell r="C156" t="str">
            <v>CT職業区分</v>
          </cell>
          <cell r="D156" t="str">
            <v>varchar</v>
          </cell>
          <cell r="E156">
            <v>10</v>
          </cell>
        </row>
        <row r="157">
          <cell r="A157" t="str">
            <v>摘要</v>
          </cell>
          <cell r="B157" t="str">
            <v>CT科目</v>
          </cell>
          <cell r="C157" t="str">
            <v>CT職業区分</v>
          </cell>
          <cell r="D157" t="str">
            <v>varchar</v>
          </cell>
          <cell r="E157">
            <v>10</v>
          </cell>
        </row>
        <row r="158">
          <cell r="A158" t="str">
            <v>摘要</v>
          </cell>
          <cell r="B158" t="str">
            <v>CT休日_月日指定</v>
          </cell>
          <cell r="C158" t="str">
            <v>CT税区分</v>
          </cell>
          <cell r="D158" t="str">
            <v>varchar</v>
          </cell>
          <cell r="E158">
            <v>20</v>
          </cell>
        </row>
        <row r="159">
          <cell r="A159" t="str">
            <v>摘要</v>
          </cell>
          <cell r="B159" t="str">
            <v>CT休日_春分秋分</v>
          </cell>
          <cell r="C159" t="str">
            <v>CT税区分</v>
          </cell>
          <cell r="D159" t="str">
            <v>varchar</v>
          </cell>
          <cell r="E159">
            <v>20</v>
          </cell>
        </row>
        <row r="160">
          <cell r="A160" t="str">
            <v>摘要</v>
          </cell>
          <cell r="B160" t="str">
            <v>CT休日_曜日指定</v>
          </cell>
          <cell r="C160" t="str">
            <v>CT税区分</v>
          </cell>
          <cell r="D160" t="str">
            <v>varchar</v>
          </cell>
          <cell r="E160">
            <v>20</v>
          </cell>
        </row>
        <row r="161">
          <cell r="A161" t="str">
            <v>摘要</v>
          </cell>
          <cell r="B161" t="str">
            <v>CT休日区分</v>
          </cell>
          <cell r="C161" t="str">
            <v>CT税区分</v>
          </cell>
          <cell r="D161" t="str">
            <v>varchar</v>
          </cell>
          <cell r="E161">
            <v>20</v>
          </cell>
        </row>
        <row r="162">
          <cell r="A162" t="str">
            <v>摘要</v>
          </cell>
          <cell r="B162" t="str">
            <v>CT肩書区分</v>
          </cell>
          <cell r="C162" t="str">
            <v>CT税区分</v>
          </cell>
          <cell r="D162" t="str">
            <v>varchar</v>
          </cell>
          <cell r="E162">
            <v>50</v>
          </cell>
        </row>
        <row r="163">
          <cell r="A163" t="str">
            <v>摘要</v>
          </cell>
          <cell r="B163" t="str">
            <v>CT口座ステイタス</v>
          </cell>
          <cell r="C163" t="str">
            <v>CT帳票名</v>
          </cell>
          <cell r="D163" t="str">
            <v>varchar</v>
          </cell>
          <cell r="E163">
            <v>20</v>
          </cell>
        </row>
        <row r="164">
          <cell r="A164" t="str">
            <v>摘要</v>
          </cell>
          <cell r="B164" t="str">
            <v>CT資金性格</v>
          </cell>
          <cell r="C164" t="str">
            <v>CT帳票名</v>
          </cell>
          <cell r="D164" t="str">
            <v>varchar</v>
          </cell>
          <cell r="E164">
            <v>20</v>
          </cell>
        </row>
        <row r="165">
          <cell r="A165" t="str">
            <v>摘要</v>
          </cell>
          <cell r="B165" t="str">
            <v>CT取引動機</v>
          </cell>
          <cell r="C165" t="str">
            <v>CT帳票名</v>
          </cell>
          <cell r="D165" t="str">
            <v>varchar</v>
          </cell>
          <cell r="E165">
            <v>20</v>
          </cell>
        </row>
        <row r="166">
          <cell r="A166" t="str">
            <v>摘要</v>
          </cell>
          <cell r="B166" t="str">
            <v>CT取引方式区分</v>
          </cell>
          <cell r="C166" t="str">
            <v>CT帳票名</v>
          </cell>
          <cell r="D166" t="str">
            <v>varchar</v>
          </cell>
          <cell r="E166">
            <v>50</v>
          </cell>
        </row>
        <row r="167">
          <cell r="A167" t="str">
            <v>摘要</v>
          </cell>
          <cell r="B167" t="str">
            <v>CT職業区分</v>
          </cell>
          <cell r="C167" t="str">
            <v>CT帳票名</v>
          </cell>
          <cell r="D167" t="str">
            <v>varchar</v>
          </cell>
          <cell r="E167">
            <v>50</v>
          </cell>
        </row>
        <row r="168">
          <cell r="A168" t="str">
            <v>摘要</v>
          </cell>
          <cell r="B168" t="str">
            <v>CT税区分</v>
          </cell>
          <cell r="C168" t="str">
            <v>CT帳票名</v>
          </cell>
          <cell r="D168" t="str">
            <v>varchar</v>
          </cell>
          <cell r="E168">
            <v>20</v>
          </cell>
        </row>
        <row r="169">
          <cell r="A169" t="str">
            <v>摘要</v>
          </cell>
          <cell r="B169" t="str">
            <v>CT入出金経路</v>
          </cell>
          <cell r="C169" t="str">
            <v>CT帳票名</v>
          </cell>
          <cell r="D169" t="str">
            <v>varchar</v>
          </cell>
          <cell r="E169">
            <v>50</v>
          </cell>
        </row>
        <row r="170">
          <cell r="A170" t="str">
            <v>摘要</v>
          </cell>
          <cell r="B170" t="str">
            <v>CT法人区分</v>
          </cell>
          <cell r="C170" t="str">
            <v>CT帳票名</v>
          </cell>
          <cell r="D170" t="str">
            <v>varchar</v>
          </cell>
          <cell r="E170">
            <v>50</v>
          </cell>
        </row>
        <row r="171">
          <cell r="A171" t="str">
            <v>摘要</v>
          </cell>
          <cell r="B171" t="str">
            <v>CT法人区分_分類</v>
          </cell>
          <cell r="C171" t="str">
            <v>CT帳票名</v>
          </cell>
          <cell r="D171" t="str">
            <v>varchar</v>
          </cell>
          <cell r="E171">
            <v>50</v>
          </cell>
        </row>
        <row r="172">
          <cell r="A172" t="str">
            <v>摘要</v>
          </cell>
          <cell r="B172" t="str">
            <v>CT本人確認書類</v>
          </cell>
          <cell r="C172" t="str">
            <v>CT帳票名</v>
          </cell>
          <cell r="D172" t="str">
            <v>varchar</v>
          </cell>
          <cell r="E172">
            <v>50</v>
          </cell>
        </row>
        <row r="173">
          <cell r="A173" t="str">
            <v>摘要</v>
          </cell>
          <cell r="B173" t="str">
            <v>CT名義人区分</v>
          </cell>
          <cell r="C173" t="str">
            <v>CT帳票名</v>
          </cell>
          <cell r="D173" t="str">
            <v>varchar</v>
          </cell>
          <cell r="E173">
            <v>20</v>
          </cell>
        </row>
        <row r="174">
          <cell r="A174" t="str">
            <v>摘要</v>
          </cell>
          <cell r="B174" t="str">
            <v>CT約定方法</v>
          </cell>
          <cell r="C174" t="str">
            <v>CT帳票名</v>
          </cell>
          <cell r="D174" t="str">
            <v>varchar</v>
          </cell>
          <cell r="E174">
            <v>12</v>
          </cell>
        </row>
        <row r="175">
          <cell r="A175" t="str">
            <v>摘要</v>
          </cell>
          <cell r="B175" t="str">
            <v>CT預り区分</v>
          </cell>
          <cell r="C175" t="str">
            <v>CT帳面文言</v>
          </cell>
          <cell r="D175" t="str">
            <v>varchar</v>
          </cell>
          <cell r="E175">
            <v>20</v>
          </cell>
        </row>
        <row r="176">
          <cell r="A176" t="str">
            <v>摘要</v>
          </cell>
          <cell r="B176" t="str">
            <v>CT預り指定</v>
          </cell>
          <cell r="C176" t="str">
            <v>CT帳面文言</v>
          </cell>
          <cell r="D176" t="str">
            <v>varchar</v>
          </cell>
          <cell r="E176">
            <v>20</v>
          </cell>
        </row>
        <row r="177">
          <cell r="A177" t="str">
            <v>摘要2 (20)</v>
          </cell>
          <cell r="B177" t="str">
            <v>CT休日区分</v>
          </cell>
          <cell r="C177" t="str">
            <v>CT帳面文言</v>
          </cell>
          <cell r="D177" t="str">
            <v>varchar</v>
          </cell>
          <cell r="E177">
            <v>20</v>
          </cell>
        </row>
        <row r="178">
          <cell r="A178" t="str">
            <v>適用年月日</v>
          </cell>
          <cell r="B178" t="str">
            <v>CT消費税率</v>
          </cell>
          <cell r="C178" t="str">
            <v>CT帳面文言</v>
          </cell>
          <cell r="D178" t="str">
            <v>varchar</v>
          </cell>
          <cell r="E178">
            <v>50</v>
          </cell>
        </row>
        <row r="179">
          <cell r="A179" t="str">
            <v>適用年月日</v>
          </cell>
          <cell r="B179" t="str">
            <v>CT税区分</v>
          </cell>
          <cell r="C179" t="str">
            <v>CT帳面文言</v>
          </cell>
          <cell r="D179" t="str">
            <v>varchar</v>
          </cell>
          <cell r="E179">
            <v>255</v>
          </cell>
        </row>
        <row r="180">
          <cell r="A180" t="str">
            <v>適用年月日</v>
          </cell>
          <cell r="B180" t="str">
            <v>CT有価証券取引税</v>
          </cell>
          <cell r="C180" t="str">
            <v>○</v>
          </cell>
          <cell r="D180" t="str">
            <v>datetime</v>
          </cell>
          <cell r="E180">
            <v>2</v>
          </cell>
        </row>
        <row r="181">
          <cell r="A181" t="str">
            <v>電話番号</v>
          </cell>
          <cell r="B181" t="str">
            <v>CTユーザ会社名</v>
          </cell>
          <cell r="C181" t="str">
            <v>CT都道府県</v>
          </cell>
          <cell r="D181" t="str">
            <v>varchar</v>
          </cell>
          <cell r="E181">
            <v>20</v>
          </cell>
        </row>
        <row r="182">
          <cell r="A182" t="str">
            <v>電話番号</v>
          </cell>
          <cell r="B182" t="str">
            <v>CT支店</v>
          </cell>
          <cell r="C182" t="str">
            <v>CT投信会社</v>
          </cell>
          <cell r="D182" t="str">
            <v>varchar</v>
          </cell>
          <cell r="E182">
            <v>20</v>
          </cell>
        </row>
        <row r="183">
          <cell r="A183" t="str">
            <v>電話番号</v>
          </cell>
          <cell r="B183" t="str">
            <v>CT受託銀行</v>
          </cell>
          <cell r="C183" t="str">
            <v>CT投信会社</v>
          </cell>
          <cell r="D183" t="str">
            <v>varchar</v>
          </cell>
          <cell r="E183">
            <v>20</v>
          </cell>
        </row>
        <row r="184">
          <cell r="A184" t="str">
            <v>電話番号</v>
          </cell>
          <cell r="B184" t="str">
            <v>CT投信会社</v>
          </cell>
          <cell r="C184" t="str">
            <v>CT投信会社</v>
          </cell>
          <cell r="D184" t="str">
            <v>varchar</v>
          </cell>
          <cell r="E184">
            <v>20</v>
          </cell>
        </row>
        <row r="185">
          <cell r="A185" t="str">
            <v>電話番号2</v>
          </cell>
          <cell r="B185" t="str">
            <v>CT受託銀行</v>
          </cell>
          <cell r="C185" t="str">
            <v>CT投信会社</v>
          </cell>
          <cell r="D185" t="str">
            <v>varchar</v>
          </cell>
          <cell r="E185">
            <v>20</v>
          </cell>
        </row>
        <row r="186">
          <cell r="A186" t="str">
            <v>都道府県コード</v>
          </cell>
          <cell r="B186" t="str">
            <v>CT市区町村</v>
          </cell>
          <cell r="C186" t="str">
            <v>CT投信会社</v>
          </cell>
          <cell r="D186" t="str">
            <v>varchar</v>
          </cell>
          <cell r="E186">
            <v>2</v>
          </cell>
        </row>
        <row r="187">
          <cell r="A187" t="str">
            <v>都道府県コード</v>
          </cell>
          <cell r="B187" t="str">
            <v>CT都道府県</v>
          </cell>
          <cell r="C187" t="str">
            <v>CT投信会社</v>
          </cell>
          <cell r="D187" t="str">
            <v>varchar</v>
          </cell>
          <cell r="E187">
            <v>4</v>
          </cell>
        </row>
        <row r="188">
          <cell r="A188" t="str">
            <v>都道府県コード</v>
          </cell>
          <cell r="B188" t="str">
            <v>CT支店</v>
          </cell>
          <cell r="C188" t="str">
            <v>CT投信会社</v>
          </cell>
          <cell r="D188" t="str">
            <v>varchar</v>
          </cell>
          <cell r="E188">
            <v>2</v>
          </cell>
        </row>
        <row r="189">
          <cell r="A189" t="str">
            <v>都道府県名</v>
          </cell>
          <cell r="B189" t="str">
            <v>CT都道府県</v>
          </cell>
          <cell r="C189" t="str">
            <v>CT投信会社</v>
          </cell>
          <cell r="D189" t="str">
            <v>varchar</v>
          </cell>
          <cell r="E189">
            <v>12</v>
          </cell>
        </row>
        <row r="190">
          <cell r="A190" t="str">
            <v>都道府県名</v>
          </cell>
          <cell r="B190" t="str">
            <v>CT郵便番号</v>
          </cell>
          <cell r="C190" t="str">
            <v>CT投信会社</v>
          </cell>
          <cell r="D190" t="str">
            <v>varchar</v>
          </cell>
          <cell r="E190">
            <v>12</v>
          </cell>
        </row>
        <row r="191">
          <cell r="A191" t="str">
            <v>投信会社コード</v>
          </cell>
          <cell r="B191" t="str">
            <v>CT投信会社</v>
          </cell>
          <cell r="C191" t="str">
            <v>CT投信会社</v>
          </cell>
          <cell r="D191" t="str">
            <v>varchar</v>
          </cell>
          <cell r="E191">
            <v>50</v>
          </cell>
        </row>
        <row r="192">
          <cell r="A192" t="str">
            <v>投信会社名</v>
          </cell>
          <cell r="B192" t="str">
            <v>CT投信会社</v>
          </cell>
          <cell r="C192" t="str">
            <v>CT投信会社</v>
          </cell>
          <cell r="D192" t="str">
            <v>varchar</v>
          </cell>
          <cell r="E192">
            <v>50</v>
          </cell>
        </row>
        <row r="193">
          <cell r="A193" t="str">
            <v>日</v>
          </cell>
          <cell r="B193" t="str">
            <v>CT休日_月日指定</v>
          </cell>
          <cell r="C193" t="str">
            <v>CT投信会社</v>
          </cell>
          <cell r="D193" t="str">
            <v>varchar</v>
          </cell>
          <cell r="E193">
            <v>255</v>
          </cell>
        </row>
        <row r="194">
          <cell r="A194" t="str">
            <v>入出金経路コード</v>
          </cell>
          <cell r="B194" t="str">
            <v>CT入出金経路</v>
          </cell>
          <cell r="C194" t="str">
            <v>CT投信会社</v>
          </cell>
          <cell r="D194" t="str">
            <v>varchar</v>
          </cell>
          <cell r="E194">
            <v>50</v>
          </cell>
        </row>
        <row r="195">
          <cell r="A195" t="str">
            <v>入出金経路コード</v>
          </cell>
          <cell r="B195" t="str">
            <v>CT受託銀行</v>
          </cell>
          <cell r="C195" t="str">
            <v>CT入出金経路</v>
          </cell>
          <cell r="D195" t="str">
            <v>varchar</v>
          </cell>
          <cell r="E195">
            <v>2</v>
          </cell>
        </row>
        <row r="196">
          <cell r="A196" t="str">
            <v>入出金経路コード</v>
          </cell>
          <cell r="B196" t="str">
            <v>CT投信会社</v>
          </cell>
          <cell r="C196" t="str">
            <v>CT入出金経路</v>
          </cell>
          <cell r="D196" t="str">
            <v>varchar</v>
          </cell>
          <cell r="E196">
            <v>2</v>
          </cell>
        </row>
        <row r="197">
          <cell r="A197" t="str">
            <v>認証印字出力区分</v>
          </cell>
          <cell r="B197" t="str">
            <v>CTユーザ会社名</v>
          </cell>
          <cell r="C197" t="str">
            <v>CT保有月数</v>
          </cell>
          <cell r="D197" t="str">
            <v>bit</v>
          </cell>
          <cell r="E197">
            <v>50</v>
          </cell>
        </row>
        <row r="198">
          <cell r="A198" t="str">
            <v>年月日</v>
          </cell>
          <cell r="B198" t="str">
            <v>CT休日_春分秋分</v>
          </cell>
          <cell r="C198" t="str">
            <v>CT保有月数</v>
          </cell>
          <cell r="D198" t="str">
            <v>int</v>
          </cell>
        </row>
        <row r="199">
          <cell r="A199" t="str">
            <v>番号桁数</v>
          </cell>
          <cell r="B199" t="str">
            <v>CT受託銀行</v>
          </cell>
          <cell r="C199" t="str">
            <v>CT法人区分</v>
          </cell>
          <cell r="D199" t="str">
            <v>int</v>
          </cell>
          <cell r="E199">
            <v>2</v>
          </cell>
        </row>
        <row r="200">
          <cell r="A200" t="str">
            <v>番号桁数2</v>
          </cell>
          <cell r="B200" t="str">
            <v>CT受託銀行</v>
          </cell>
          <cell r="C200" t="str">
            <v>CT法人区分</v>
          </cell>
          <cell r="D200" t="str">
            <v>int</v>
          </cell>
          <cell r="E200">
            <v>50</v>
          </cell>
        </row>
        <row r="201">
          <cell r="A201" t="str">
            <v>備考</v>
          </cell>
          <cell r="B201" t="str">
            <v>CT受託銀行</v>
          </cell>
          <cell r="C201" t="str">
            <v>CT法人区分</v>
          </cell>
          <cell r="D201" t="str">
            <v>varchar</v>
          </cell>
          <cell r="E201">
            <v>255</v>
          </cell>
        </row>
        <row r="202">
          <cell r="A202" t="str">
            <v>備考</v>
          </cell>
          <cell r="B202" t="str">
            <v>CT投信会社</v>
          </cell>
          <cell r="C202" t="str">
            <v>CT法人区分_分類</v>
          </cell>
          <cell r="D202" t="str">
            <v>varchar</v>
          </cell>
          <cell r="E202">
            <v>255</v>
          </cell>
        </row>
        <row r="203">
          <cell r="A203" t="str">
            <v>表示位置</v>
          </cell>
          <cell r="B203" t="str">
            <v>CT帳面文言</v>
          </cell>
          <cell r="C203" t="str">
            <v>CT法人区分_分類</v>
          </cell>
          <cell r="D203" t="str">
            <v>varchar</v>
          </cell>
          <cell r="E203">
            <v>50</v>
          </cell>
        </row>
        <row r="204">
          <cell r="A204" t="str">
            <v>分類</v>
          </cell>
          <cell r="B204" t="str">
            <v>CT法人区分_分類</v>
          </cell>
          <cell r="C204" t="str">
            <v>○</v>
          </cell>
          <cell r="D204" t="str">
            <v>varchar</v>
          </cell>
          <cell r="E204">
            <v>2</v>
          </cell>
        </row>
        <row r="205">
          <cell r="A205" t="str">
            <v>分類</v>
          </cell>
          <cell r="B205" t="str">
            <v>CT法人区分</v>
          </cell>
          <cell r="C205" t="str">
            <v>CT本人確認書類</v>
          </cell>
          <cell r="D205" t="str">
            <v>varchar</v>
          </cell>
          <cell r="E205">
            <v>2</v>
          </cell>
        </row>
        <row r="206">
          <cell r="A206" t="str">
            <v>文言</v>
          </cell>
          <cell r="B206" t="str">
            <v>CT帳面文言</v>
          </cell>
          <cell r="C206" t="str">
            <v>CT名義人区分</v>
          </cell>
          <cell r="D206" t="str">
            <v>varchar</v>
          </cell>
          <cell r="E206">
            <v>255</v>
          </cell>
        </row>
        <row r="207">
          <cell r="A207" t="str">
            <v>保有月数</v>
          </cell>
          <cell r="B207" t="str">
            <v>CT保有月数</v>
          </cell>
          <cell r="C207" t="str">
            <v>CT名義人区分</v>
          </cell>
          <cell r="D207" t="str">
            <v>int</v>
          </cell>
          <cell r="E207">
            <v>20</v>
          </cell>
        </row>
        <row r="208">
          <cell r="A208" t="str">
            <v>法人区分コード</v>
          </cell>
          <cell r="B208" t="str">
            <v>CT法人区分</v>
          </cell>
          <cell r="C208" t="str">
            <v>○</v>
          </cell>
          <cell r="D208" t="str">
            <v>varchar</v>
          </cell>
          <cell r="E208">
            <v>2</v>
          </cell>
        </row>
        <row r="209">
          <cell r="A209" t="str">
            <v>名義人区分コード</v>
          </cell>
          <cell r="B209" t="str">
            <v>CT名義人区分</v>
          </cell>
          <cell r="C209" t="str">
            <v>CT約定方法</v>
          </cell>
          <cell r="D209" t="str">
            <v>varchar</v>
          </cell>
          <cell r="E209">
            <v>12</v>
          </cell>
        </row>
        <row r="210">
          <cell r="A210" t="str">
            <v>約定方法コード</v>
          </cell>
          <cell r="B210" t="str">
            <v>CT約定方法</v>
          </cell>
          <cell r="C210" t="str">
            <v>○</v>
          </cell>
          <cell r="D210" t="str">
            <v>varchar</v>
          </cell>
          <cell r="E210">
            <v>2</v>
          </cell>
        </row>
        <row r="211">
          <cell r="A211" t="str">
            <v>有価証券取引税率</v>
          </cell>
          <cell r="B211" t="str">
            <v>CT有価証券取引税</v>
          </cell>
          <cell r="C211" t="str">
            <v>CT有価証券取引税</v>
          </cell>
          <cell r="D211" t="str">
            <v>money</v>
          </cell>
        </row>
        <row r="212">
          <cell r="A212" t="str">
            <v>郵便番号</v>
          </cell>
          <cell r="B212" t="str">
            <v>CT郵便番号</v>
          </cell>
          <cell r="C212" t="str">
            <v>CT有価証券取引税</v>
          </cell>
          <cell r="D212" t="str">
            <v>money</v>
          </cell>
          <cell r="E212">
            <v>8</v>
          </cell>
        </row>
        <row r="213">
          <cell r="A213" t="str">
            <v>郵便番号</v>
          </cell>
          <cell r="B213" t="str">
            <v>CT支店</v>
          </cell>
          <cell r="C213" t="str">
            <v>CT郵便番号</v>
          </cell>
          <cell r="D213" t="str">
            <v>varchar</v>
          </cell>
          <cell r="E213">
            <v>8</v>
          </cell>
        </row>
        <row r="214">
          <cell r="A214" t="str">
            <v>預り区分コード</v>
          </cell>
          <cell r="B214" t="str">
            <v>CT預り区分</v>
          </cell>
          <cell r="C214" t="str">
            <v>CT郵便番号</v>
          </cell>
          <cell r="D214" t="str">
            <v>varchar</v>
          </cell>
          <cell r="E214">
            <v>50</v>
          </cell>
        </row>
        <row r="215">
          <cell r="A215" t="str">
            <v>預り指定</v>
          </cell>
          <cell r="B215" t="str">
            <v>CT預り指定</v>
          </cell>
          <cell r="C215" t="str">
            <v>CT郵便番号</v>
          </cell>
          <cell r="D215" t="str">
            <v>varchar</v>
          </cell>
          <cell r="E215">
            <v>128</v>
          </cell>
        </row>
        <row r="216">
          <cell r="A216" t="str">
            <v>曜日</v>
          </cell>
          <cell r="B216" t="str">
            <v>CT休日_曜日指定</v>
          </cell>
          <cell r="C216" t="str">
            <v>CT郵便番号</v>
          </cell>
          <cell r="D216" t="str">
            <v>varchar</v>
          </cell>
          <cell r="E216">
            <v>12</v>
          </cell>
        </row>
        <row r="217">
          <cell r="A217" t="str">
            <v>用紙様式</v>
          </cell>
          <cell r="B217" t="str">
            <v>CT帳票名</v>
          </cell>
          <cell r="C217" t="str">
            <v>CT預り区分</v>
          </cell>
          <cell r="D217" t="str">
            <v>varchar</v>
          </cell>
          <cell r="E217">
            <v>20</v>
          </cell>
        </row>
        <row r="218">
          <cell r="A218" t="str">
            <v>連絡者</v>
          </cell>
          <cell r="B218" t="str">
            <v>CT受託銀行</v>
          </cell>
          <cell r="C218" t="str">
            <v>CT預り区分</v>
          </cell>
          <cell r="D218" t="str">
            <v>varchar</v>
          </cell>
          <cell r="E218">
            <v>50</v>
          </cell>
        </row>
        <row r="219">
          <cell r="A219" t="str">
            <v>連絡者</v>
          </cell>
          <cell r="B219" t="str">
            <v>CT投信会社</v>
          </cell>
          <cell r="C219" t="str">
            <v>CT預り指定</v>
          </cell>
          <cell r="D219" t="str">
            <v>varchar</v>
          </cell>
          <cell r="E219">
            <v>50</v>
          </cell>
        </row>
        <row r="220">
          <cell r="A220" t="str">
            <v>連絡者2</v>
          </cell>
          <cell r="B220" t="str">
            <v>CT受託銀行</v>
          </cell>
          <cell r="C220" t="str">
            <v>CT預り指定</v>
          </cell>
          <cell r="D220" t="str">
            <v>varchar</v>
          </cell>
          <cell r="E220">
            <v>50</v>
          </cell>
        </row>
      </sheetData>
      <sheetData sheetId="2">
        <row r="2">
          <cell r="A2" t="str">
            <v>EMAIL</v>
          </cell>
        </row>
      </sheetData>
      <sheetData sheetId="3">
        <row r="2">
          <cell r="A2" t="str">
            <v>１．ＲＤ</v>
          </cell>
        </row>
      </sheetData>
      <sheetData sheetId="4">
        <row r="2">
          <cell r="A2" t="str">
            <v>１．ＲＤ</v>
          </cell>
        </row>
      </sheetData>
      <sheetData sheetId="5">
        <row r="2">
          <cell r="A2" t="str">
            <v>１．ＲＤ</v>
          </cell>
        </row>
      </sheetData>
      <sheetData sheetId="6">
        <row r="2">
          <cell r="A2" t="str">
            <v>１．ＲＤ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">
          <cell r="A2" t="str">
            <v>EMAIL</v>
          </cell>
        </row>
      </sheetData>
      <sheetData sheetId="4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2">
          <cell r="B2" t="str">
            <v>依頼先：</v>
          </cell>
        </row>
      </sheetData>
      <sheetData sheetId="88">
        <row r="2">
          <cell r="B2" t="str">
            <v>依頼先：</v>
          </cell>
        </row>
      </sheetData>
      <sheetData sheetId="89"/>
      <sheetData sheetId="90"/>
      <sheetData sheetId="91"/>
      <sheetData sheetId="92"/>
      <sheetData sheetId="93"/>
      <sheetData sheetId="94"/>
      <sheetData sheetId="95">
        <row r="2">
          <cell r="B2" t="str">
            <v>依頼先：</v>
          </cell>
        </row>
      </sheetData>
      <sheetData sheetId="96">
        <row r="2">
          <cell r="B2" t="str">
            <v>依頼先：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>
        <row r="2">
          <cell r="A2">
            <v>0</v>
          </cell>
        </row>
      </sheetData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B"/>
      <sheetName val="ジョブ一覧"/>
      <sheetName val="ジョブ機能(共通）"/>
      <sheetName val="ジョブ機能 (個別)"/>
      <sheetName val="ﾌﾟﾛｸﾞﾗﾑ一覧"/>
      <sheetName val="ﾌﾟﾛｸﾞﾗﾑ一覧 (2)"/>
      <sheetName val="機能一覧(共通）"/>
      <sheetName val="機能一覧 (個別)"/>
      <sheetName val="ﾌｧｲﾙ一覧"/>
      <sheetName val="帳票一覧"/>
      <sheetName val="ﾃﾞｰﾀ項目一覧"/>
      <sheetName val="メソッド定義"/>
      <sheetName val="現行DB一覧2(CT)"/>
    </sheetNames>
    <sheetDataSet>
      <sheetData sheetId="0" refreshError="1">
        <row r="2">
          <cell r="B2" t="str">
            <v>共通（口振・振込）</v>
          </cell>
        </row>
        <row r="3">
          <cell r="B3" t="str">
            <v>共通（口振）</v>
          </cell>
        </row>
        <row r="4">
          <cell r="B4" t="str">
            <v>共通（振込）</v>
          </cell>
        </row>
        <row r="5">
          <cell r="B5" t="str">
            <v>個社別</v>
          </cell>
        </row>
        <row r="6">
          <cell r="B6" t="str">
            <v>廃止・未使用</v>
          </cell>
        </row>
        <row r="7">
          <cell r="B7" t="str">
            <v>九州電力</v>
          </cell>
        </row>
        <row r="8">
          <cell r="B8" t="str">
            <v>西鉄・九電工</v>
          </cell>
        </row>
        <row r="9">
          <cell r="B9" t="str">
            <v>ＭＴ編集</v>
          </cell>
        </row>
        <row r="10">
          <cell r="B10" t="str">
            <v>ＦＡＸ－ＯＣＲ</v>
          </cell>
        </row>
        <row r="11">
          <cell r="B11" t="str">
            <v>トヨタ自動車</v>
          </cell>
        </row>
        <row r="12">
          <cell r="B12" t="str">
            <v>九工大</v>
          </cell>
        </row>
        <row r="13">
          <cell r="B13" t="str">
            <v>福岡県</v>
          </cell>
        </row>
        <row r="14">
          <cell r="B14" t="str">
            <v>福岡市</v>
          </cell>
        </row>
        <row r="15">
          <cell r="B15" t="str">
            <v>北九州市</v>
          </cell>
        </row>
        <row r="16">
          <cell r="B16" t="str">
            <v>長崎大学</v>
          </cell>
        </row>
        <row r="17">
          <cell r="B17" t="str">
            <v>九州医療センター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業務経歴"/>
      <sheetName val="業務経歴入力方法 "/>
      <sheetName val="業務経歴(記入例"/>
      <sheetName val="スキルシート"/>
      <sheetName val="スキルシート入力方法"/>
      <sheetName val="スキルシート記入例"/>
      <sheetName val="名称M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業種名１</v>
          </cell>
          <cell r="D1" t="str">
            <v>業務名１</v>
          </cell>
          <cell r="F1" t="str">
            <v>役割</v>
          </cell>
          <cell r="H1" t="str">
            <v>ｼｽﾃﾑ形態</v>
          </cell>
          <cell r="L1" t="str">
            <v>言語</v>
          </cell>
          <cell r="N1" t="str">
            <v>OS</v>
          </cell>
          <cell r="P1" t="str">
            <v>メーカ</v>
          </cell>
          <cell r="S1" t="str">
            <v>DB</v>
          </cell>
        </row>
        <row r="3">
          <cell r="B3" t="str">
            <v>金融</v>
          </cell>
          <cell r="D3" t="str">
            <v>販売</v>
          </cell>
          <cell r="F3" t="str">
            <v>システムコンサルタント</v>
          </cell>
          <cell r="H3" t="str">
            <v>バッチ</v>
          </cell>
          <cell r="L3" t="str">
            <v>ＣＯＢＯＬ</v>
          </cell>
          <cell r="N3" t="str">
            <v>ＭＶＳ</v>
          </cell>
          <cell r="P3" t="str">
            <v>ＩＢＭ</v>
          </cell>
          <cell r="S3" t="str">
            <v>DB2</v>
          </cell>
        </row>
        <row r="4">
          <cell r="B4" t="str">
            <v>生保</v>
          </cell>
          <cell r="D4" t="str">
            <v>在庫/購買</v>
          </cell>
          <cell r="F4" t="str">
            <v>プロジェクトマネージャー</v>
          </cell>
          <cell r="H4" t="str">
            <v>オンライン</v>
          </cell>
          <cell r="L4" t="str">
            <v>FORTRAN</v>
          </cell>
          <cell r="N4" t="str">
            <v>ＭＳＰ</v>
          </cell>
          <cell r="P4" t="str">
            <v>富士通</v>
          </cell>
          <cell r="S4" t="str">
            <v>IMS</v>
          </cell>
        </row>
        <row r="5">
          <cell r="B5" t="str">
            <v>損保</v>
          </cell>
          <cell r="D5" t="str">
            <v>生産管理/計画</v>
          </cell>
          <cell r="F5" t="str">
            <v>リーダー(シニアＳＥ)</v>
          </cell>
          <cell r="H5" t="str">
            <v>サーバー／クライアント</v>
          </cell>
          <cell r="L5" t="str">
            <v>ｱｾﾝﾌﾞﾗ</v>
          </cell>
          <cell r="N5" t="str">
            <v>ＶＯＳ３</v>
          </cell>
          <cell r="P5" t="str">
            <v>日立</v>
          </cell>
          <cell r="S5" t="str">
            <v>AIM</v>
          </cell>
        </row>
        <row r="6">
          <cell r="B6" t="str">
            <v>証券</v>
          </cell>
          <cell r="D6" t="str">
            <v>品質管理</v>
          </cell>
          <cell r="F6" t="str">
            <v>ＳＥ</v>
          </cell>
          <cell r="H6" t="str">
            <v>クライアント（スタンドアロン）</v>
          </cell>
          <cell r="L6" t="str">
            <v>PL/1</v>
          </cell>
          <cell r="N6" t="str">
            <v>ACOS-4/6</v>
          </cell>
          <cell r="P6" t="str">
            <v>ＮＥＣ</v>
          </cell>
          <cell r="S6" t="str">
            <v>ADM</v>
          </cell>
        </row>
        <row r="7">
          <cell r="B7" t="str">
            <v>製造</v>
          </cell>
          <cell r="D7" t="str">
            <v>ﾌﾟﾗﾝﾄ保全</v>
          </cell>
          <cell r="F7" t="str">
            <v>プログラマー</v>
          </cell>
          <cell r="H7" t="str">
            <v>ｵﾝﾗｲﾝ</v>
          </cell>
          <cell r="L7" t="str">
            <v>ＲＰＧ</v>
          </cell>
          <cell r="N7" t="str">
            <v>OS/400</v>
          </cell>
          <cell r="P7" t="str">
            <v>AS/400</v>
          </cell>
          <cell r="S7" t="str">
            <v>ADABAS</v>
          </cell>
        </row>
        <row r="8">
          <cell r="B8" t="str">
            <v>流通</v>
          </cell>
          <cell r="D8" t="str">
            <v>人事管理</v>
          </cell>
          <cell r="F8" t="str">
            <v>ネットワーク・DBエンジニア(インフラ系)</v>
          </cell>
          <cell r="H8" t="str">
            <v>Webシステム(イントラネット・ECサイト・Web-EDI等)</v>
          </cell>
          <cell r="L8" t="str">
            <v>Ｃ</v>
          </cell>
          <cell r="N8" t="str">
            <v>ＵＮＩＸ</v>
          </cell>
          <cell r="P8" t="str">
            <v>ユニシス</v>
          </cell>
          <cell r="S8" t="str">
            <v>ORACLE</v>
          </cell>
        </row>
        <row r="9">
          <cell r="B9" t="str">
            <v>サービス</v>
          </cell>
          <cell r="D9" t="str">
            <v>給与管理</v>
          </cell>
          <cell r="F9" t="str">
            <v>サポートエンジニア（オペレータ・テクニカルサポート等）</v>
          </cell>
          <cell r="H9" t="str">
            <v>制御(機械・電気・通信)</v>
          </cell>
          <cell r="L9" t="str">
            <v>Ｃ＋＋</v>
          </cell>
          <cell r="N9" t="str">
            <v>Linux</v>
          </cell>
          <cell r="P9" t="str">
            <v>TANDEM／DEC／COMPAQ</v>
          </cell>
          <cell r="S9" t="str">
            <v>SQL</v>
          </cell>
        </row>
        <row r="10">
          <cell r="B10" t="str">
            <v>建設/プラント</v>
          </cell>
          <cell r="D10" t="str">
            <v>財務会計</v>
          </cell>
          <cell r="F10" t="str">
            <v>インストラクター</v>
          </cell>
          <cell r="H10" t="str">
            <v>ファームウェア（ドライバー等）</v>
          </cell>
          <cell r="L10" t="str">
            <v>MOTIF</v>
          </cell>
          <cell r="N10" t="str">
            <v>AIX　（ＩＢＭ）</v>
          </cell>
          <cell r="P10" t="str">
            <v>SUN</v>
          </cell>
          <cell r="S10" t="str">
            <v>INFORMIX</v>
          </cell>
        </row>
        <row r="11">
          <cell r="B11" t="str">
            <v>エネルギー</v>
          </cell>
          <cell r="D11" t="str">
            <v>管理会計</v>
          </cell>
          <cell r="F11" t="str">
            <v>システム営業</v>
          </cell>
          <cell r="H11" t="str">
            <v>ハードウェア（回路等）</v>
          </cell>
          <cell r="L11" t="str">
            <v>VB</v>
          </cell>
          <cell r="N11" t="str">
            <v>OS2</v>
          </cell>
          <cell r="P11" t="str">
            <v>HP</v>
          </cell>
          <cell r="S11" t="str">
            <v>SYBASE</v>
          </cell>
        </row>
        <row r="12">
          <cell r="B12" t="str">
            <v>小売業</v>
          </cell>
          <cell r="D12" t="str">
            <v>固定資産</v>
          </cell>
          <cell r="F12" t="str">
            <v>その他</v>
          </cell>
          <cell r="H12" t="str">
            <v>その他</v>
          </cell>
          <cell r="L12" t="str">
            <v>VC</v>
          </cell>
          <cell r="N12" t="str">
            <v>Solaris</v>
          </cell>
          <cell r="P12" t="str">
            <v>その他</v>
          </cell>
          <cell r="S12" t="str">
            <v>ACCESS</v>
          </cell>
        </row>
        <row r="13">
          <cell r="B13" t="str">
            <v>商社</v>
          </cell>
          <cell r="D13" t="str">
            <v>原価管理</v>
          </cell>
          <cell r="L13" t="str">
            <v>VC++</v>
          </cell>
          <cell r="N13" t="str">
            <v>X-WINDOW</v>
          </cell>
          <cell r="S13" t="str">
            <v>PowerBuilder</v>
          </cell>
        </row>
        <row r="14">
          <cell r="B14" t="str">
            <v>運輸</v>
          </cell>
          <cell r="D14" t="str">
            <v>顧客管理</v>
          </cell>
          <cell r="L14" t="str">
            <v>.NET</v>
          </cell>
          <cell r="N14" t="str">
            <v>MS-DOS</v>
          </cell>
          <cell r="S14" t="str">
            <v>その他</v>
          </cell>
        </row>
        <row r="15">
          <cell r="B15" t="str">
            <v>不動産</v>
          </cell>
          <cell r="D15" t="str">
            <v>経理</v>
          </cell>
          <cell r="L15" t="str">
            <v>ABAP-4</v>
          </cell>
          <cell r="N15" t="str">
            <v>ＷＩＮ９８</v>
          </cell>
          <cell r="S15" t="str">
            <v>ADBS</v>
          </cell>
        </row>
        <row r="16">
          <cell r="B16" t="str">
            <v>教育機関</v>
          </cell>
          <cell r="D16" t="str">
            <v>図書</v>
          </cell>
          <cell r="L16" t="str">
            <v>JAVAアプレット</v>
          </cell>
          <cell r="N16" t="str">
            <v>WIN2000</v>
          </cell>
          <cell r="S16" t="str">
            <v>ＲＤＢII</v>
          </cell>
        </row>
        <row r="17">
          <cell r="B17" t="str">
            <v>卸売</v>
          </cell>
          <cell r="D17" t="str">
            <v>設備</v>
          </cell>
          <cell r="L17" t="str">
            <v>JAVAサーブレット</v>
          </cell>
          <cell r="N17" t="str">
            <v>WIN-ＸＰ</v>
          </cell>
        </row>
        <row r="18">
          <cell r="B18" t="str">
            <v>食品</v>
          </cell>
          <cell r="D18" t="str">
            <v>株式</v>
          </cell>
          <cell r="L18" t="str">
            <v>JAVAｽｸﾘﾌﾟﾄ</v>
          </cell>
          <cell r="N18" t="str">
            <v>WIN-NT</v>
          </cell>
        </row>
        <row r="19">
          <cell r="B19" t="str">
            <v>水産</v>
          </cell>
          <cell r="D19" t="str">
            <v>銀行</v>
          </cell>
          <cell r="L19" t="str">
            <v>JAVABeans</v>
          </cell>
          <cell r="N19" t="str">
            <v>その他</v>
          </cell>
        </row>
        <row r="20">
          <cell r="B20" t="str">
            <v>水産加工</v>
          </cell>
          <cell r="D20" t="str">
            <v>交通</v>
          </cell>
          <cell r="L20" t="str">
            <v>ＪＤＢＣ</v>
          </cell>
          <cell r="N20" t="str">
            <v>ＷＩＮ９５</v>
          </cell>
        </row>
        <row r="21">
          <cell r="B21" t="str">
            <v>畜産</v>
          </cell>
          <cell r="D21" t="str">
            <v>制御系ソフトウェア</v>
          </cell>
          <cell r="L21" t="str">
            <v>ＡＳＰ</v>
          </cell>
          <cell r="N21" t="str">
            <v>SURE/SXO</v>
          </cell>
        </row>
        <row r="22">
          <cell r="B22" t="str">
            <v>医療</v>
          </cell>
          <cell r="D22" t="str">
            <v>その他</v>
          </cell>
          <cell r="L22" t="str">
            <v>ＰＨＰ</v>
          </cell>
          <cell r="N22" t="str">
            <v>OSIV/MSP</v>
          </cell>
        </row>
        <row r="23">
          <cell r="B23" t="str">
            <v>倉庫</v>
          </cell>
          <cell r="L23" t="str">
            <v>ＰＥＲＬ</v>
          </cell>
        </row>
        <row r="24">
          <cell r="B24" t="str">
            <v>農業</v>
          </cell>
          <cell r="L24" t="str">
            <v>ＥＪＢ</v>
          </cell>
        </row>
        <row r="25">
          <cell r="B25" t="str">
            <v>省庁</v>
          </cell>
          <cell r="L25" t="str">
            <v>ＨＴＭＬ</v>
          </cell>
        </row>
        <row r="26">
          <cell r="B26" t="str">
            <v>自治体</v>
          </cell>
          <cell r="L26" t="str">
            <v>ＸＭＬ</v>
          </cell>
        </row>
        <row r="27">
          <cell r="B27" t="str">
            <v>公営競技</v>
          </cell>
          <cell r="L27" t="str">
            <v>ASP</v>
          </cell>
        </row>
        <row r="28">
          <cell r="B28" t="str">
            <v>公共企業</v>
          </cell>
          <cell r="L28" t="str">
            <v>Dveloper-2000</v>
          </cell>
        </row>
        <row r="29">
          <cell r="B29" t="str">
            <v>報道出版</v>
          </cell>
          <cell r="L29" t="str">
            <v>ＰＬ/ＳＱＬ</v>
          </cell>
        </row>
        <row r="30">
          <cell r="B30" t="str">
            <v>通信</v>
          </cell>
          <cell r="L30" t="str">
            <v>その他</v>
          </cell>
        </row>
        <row r="31">
          <cell r="B31" t="str">
            <v>その他</v>
          </cell>
          <cell r="L31" t="str">
            <v>Ｄｅｌｐｈｉ</v>
          </cell>
        </row>
        <row r="32">
          <cell r="L32" t="str">
            <v>ＶＢＡ(ＥＸＣＥＬ)</v>
          </cell>
        </row>
        <row r="33">
          <cell r="L33" t="str">
            <v>Ｔ-ＳＱＬ</v>
          </cell>
        </row>
        <row r="34">
          <cell r="L34" t="str">
            <v>NATURAL(4GL)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変更履歴"/>
      <sheetName val="PT工程完了報告書"/>
      <sheetName val="ＰＴ障害状況"/>
      <sheetName val="製造仕様書変更履歴及び疎通推移"/>
      <sheetName val="PT品質集計シート（画面）"/>
      <sheetName val="PT品質集計シート（EJB)"/>
      <sheetName val="PT品質集計シート (業務共通部品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提案体制"/>
      <sheetName val="リスト"/>
    </sheetNames>
    <sheetDataSet>
      <sheetData sheetId="0"/>
      <sheetData sheetId="1">
        <row r="3">
          <cell r="B3" t="str">
            <v>日本</v>
          </cell>
          <cell r="C3" t="str">
            <v>男</v>
          </cell>
          <cell r="E3" t="str">
            <v>PM</v>
          </cell>
          <cell r="G3" t="str">
            <v>1級レベル</v>
          </cell>
        </row>
        <row r="4">
          <cell r="B4" t="str">
            <v>中国</v>
          </cell>
          <cell r="C4" t="str">
            <v>女</v>
          </cell>
          <cell r="E4" t="str">
            <v>PL</v>
          </cell>
          <cell r="G4" t="str">
            <v>2級レベル</v>
          </cell>
        </row>
        <row r="5">
          <cell r="B5" t="str">
            <v>韓国</v>
          </cell>
          <cell r="E5" t="str">
            <v>SL</v>
          </cell>
          <cell r="G5" t="str">
            <v>3級レベル</v>
          </cell>
        </row>
        <row r="6">
          <cell r="E6" t="str">
            <v>シニアSE</v>
          </cell>
          <cell r="G6" t="str">
            <v>-</v>
          </cell>
        </row>
        <row r="7">
          <cell r="E7" t="str">
            <v>SE</v>
          </cell>
        </row>
        <row r="8">
          <cell r="E8" t="str">
            <v>上級PG</v>
          </cell>
        </row>
        <row r="9">
          <cell r="E9" t="str">
            <v>PG</v>
          </cell>
        </row>
        <row r="10">
          <cell r="E10" t="str">
            <v>新人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テーブル一覧"/>
      <sheetName val="Ｅ００１"/>
      <sheetName val="Ｅ００２"/>
      <sheetName val="Ｅ００３"/>
      <sheetName val="Ｅ００４"/>
      <sheetName val="Ｅ００５"/>
      <sheetName val="Ｅ００６"/>
      <sheetName val="参照"/>
      <sheetName val="ｐｔ障害状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6">
          <cell r="C6" t="str">
            <v>００１</v>
          </cell>
          <cell r="D6" t="str">
            <v>融資統合ＤＢ</v>
          </cell>
        </row>
        <row r="7">
          <cell r="C7" t="str">
            <v>００２</v>
          </cell>
          <cell r="D7" t="str">
            <v>ＤＷＨ</v>
          </cell>
        </row>
        <row r="8">
          <cell r="C8" t="str">
            <v>９９９</v>
          </cell>
          <cell r="D8" t="str">
            <v>その他</v>
          </cell>
        </row>
      </sheetData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レビュー票"/>
      <sheetName val="コード表"/>
      <sheetName val="原因区分"/>
      <sheetName val="指摘分類"/>
      <sheetName val="設定シート"/>
      <sheetName val="マトリクス定義取得"/>
      <sheetName val="工程定義取得"/>
      <sheetName val="マスタ"/>
      <sheetName val="指摘分類リスト"/>
      <sheetName val="作込原因リスト"/>
      <sheetName val="根本原因リスト"/>
      <sheetName val="プロセス"/>
      <sheetName val="バージョン情報"/>
      <sheetName val="マトリクス定義"/>
      <sheetName val="レビュー票_14532_アーカイブ_UI_確認資料作成_社内レ"/>
    </sheetNames>
    <sheetDataSet>
      <sheetData sheetId="0" refreshError="1"/>
      <sheetData sheetId="1">
        <row r="2">
          <cell r="C2" t="str">
            <v>コード表!C3:C14</v>
          </cell>
          <cell r="G2" t="str">
            <v>コード表!G3:G11</v>
          </cell>
          <cell r="K2" t="str">
            <v>コード表!K3:K5</v>
          </cell>
          <cell r="M2" t="str">
            <v>コード表!M3:M6</v>
          </cell>
        </row>
      </sheetData>
      <sheetData sheetId="2" refreshError="1"/>
      <sheetData sheetId="3">
        <row r="5">
          <cell r="B5" t="str">
            <v>06：UI成果物記載漏れ</v>
          </cell>
        </row>
        <row r="6">
          <cell r="B6" t="str">
            <v>07：UI成果物記載誤り</v>
          </cell>
        </row>
        <row r="7">
          <cell r="B7" t="str">
            <v>08：UI成果物記載不十分</v>
          </cell>
        </row>
        <row r="8">
          <cell r="B8" t="str">
            <v>81：誤字脱字</v>
          </cell>
        </row>
        <row r="9">
          <cell r="B9" t="str">
            <v>82：表現等の改善事項</v>
          </cell>
        </row>
        <row r="10">
          <cell r="B10" t="str">
            <v>83：仕様変更</v>
          </cell>
        </row>
        <row r="11">
          <cell r="B11" t="str">
            <v>97：潜在バグ</v>
          </cell>
        </row>
        <row r="12">
          <cell r="B12" t="str">
            <v>98：指摘ミス</v>
          </cell>
        </row>
        <row r="13">
          <cell r="B13" t="str">
            <v>99：その他</v>
          </cell>
        </row>
      </sheetData>
      <sheetData sheetId="4">
        <row r="2">
          <cell r="D2" t="str">
            <v>サブシステム名</v>
          </cell>
          <cell r="E2" t="str">
            <v>業務プロセス名</v>
          </cell>
          <cell r="F2" t="str">
            <v>プロセス名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2">
          <cell r="D2" t="str">
            <v>プロセス!D3:D3</v>
          </cell>
        </row>
        <row r="3">
          <cell r="F3" t="str">
            <v>統合編集システム</v>
          </cell>
          <cell r="G3" t="str">
            <v>アーカイブ</v>
          </cell>
          <cell r="H3" t="str">
            <v>プロセス!G3:G3</v>
          </cell>
          <cell r="J3" t="str">
            <v>統合編集システムアーカイブ</v>
          </cell>
          <cell r="K3" t="str">
            <v>確認資料</v>
          </cell>
          <cell r="L3" t="str">
            <v>プロセス!K3:K3</v>
          </cell>
        </row>
      </sheetData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表紙"/>
      <sheetName val="一覧"/>
      <sheetName val="遷移図 "/>
      <sheetName val="遷移図"/>
      <sheetName val="Ｃ１"/>
      <sheetName val="C1@"/>
      <sheetName val="IO１"/>
      <sheetName val="ＥＶ（０）"/>
      <sheetName val="ＥＶ（１）"/>
      <sheetName val="ＥＶ（２）"/>
      <sheetName val="Ｓ１"/>
      <sheetName val="Ｓ１＠"/>
      <sheetName val="Sheet4"/>
      <sheetName val="Sheet5"/>
      <sheetName val="システム変更案件票"/>
      <sheetName val="ＢＳ科目テーブル"/>
      <sheetName val="Sim基準金利ＴＢ"/>
      <sheetName val="基準金利ＴＢ"/>
      <sheetName val="TB"/>
    </sheetNames>
    <sheetDataSet>
      <sheetData sheetId="0" refreshError="1"/>
      <sheetData sheetId="1" refreshError="1">
        <row r="1">
          <cell r="A1" t="str">
            <v>共通全銀標準</v>
          </cell>
        </row>
        <row r="2">
          <cell r="A2" t="str">
            <v>共通個社別</v>
          </cell>
        </row>
        <row r="3">
          <cell r="A3" t="str">
            <v>福銀個社別</v>
          </cell>
        </row>
        <row r="4">
          <cell r="A4" t="str">
            <v>広銀個社別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職務経歴書（開発用）"/>
      <sheetName val="サンプル"/>
      <sheetName val="work"/>
    </sheetNames>
    <sheetDataSet>
      <sheetData sheetId="0"/>
      <sheetData sheetId="1"/>
      <sheetData sheetId="2">
        <row r="2">
          <cell r="A2" t="str">
            <v>金融業種</v>
          </cell>
          <cell r="B2" t="str">
            <v>PG</v>
          </cell>
        </row>
        <row r="3">
          <cell r="A3" t="str">
            <v>通信業種</v>
          </cell>
          <cell r="B3" t="str">
            <v>SE</v>
          </cell>
        </row>
        <row r="4">
          <cell r="A4" t="str">
            <v>流通・サービス業種</v>
          </cell>
          <cell r="B4" t="str">
            <v>BSE</v>
          </cell>
        </row>
        <row r="5">
          <cell r="A5" t="str">
            <v>官公庁・公共サービス</v>
          </cell>
          <cell r="B5" t="str">
            <v>TSL</v>
          </cell>
        </row>
        <row r="6">
          <cell r="A6" t="str">
            <v>製造業務</v>
          </cell>
          <cell r="B6" t="str">
            <v>TL</v>
          </cell>
        </row>
        <row r="7">
          <cell r="A7" t="str">
            <v>その他</v>
          </cell>
          <cell r="B7" t="str">
            <v>PL</v>
          </cell>
        </row>
        <row r="8">
          <cell r="B8" t="str">
            <v>PM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レビュー票"/>
      <sheetName val="コード表"/>
      <sheetName val="原因区分"/>
      <sheetName val="指摘分類"/>
      <sheetName val="設定シート"/>
      <sheetName val="マトリクス定義取得"/>
      <sheetName val="指摘分類リスト"/>
      <sheetName val="作込原因リスト"/>
      <sheetName val="根本原因リスト"/>
      <sheetName val="プロセス"/>
      <sheetName val="バージョン情報"/>
      <sheetName val="マトリクス定義"/>
      <sheetName val="設定"/>
    </sheetNames>
    <sheetDataSet>
      <sheetData sheetId="0">
        <row r="17">
          <cell r="BA17" t="str">
            <v>x</v>
          </cell>
        </row>
      </sheetData>
      <sheetData sheetId="1">
        <row r="2">
          <cell r="I2" t="str">
            <v>コード表!I3:I22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B"/>
      <sheetName val="ジョブ一覧"/>
      <sheetName val="ジョブ機能(共通）"/>
      <sheetName val="ジョブ機能 (個別)"/>
      <sheetName val="ﾌﾟﾛｸﾞﾗﾑ一覧"/>
      <sheetName val="ﾌﾟﾛｸﾞﾗﾑ一覧 (2)"/>
      <sheetName val="機能一覧(共通）"/>
      <sheetName val="機能一覧 (個別)"/>
      <sheetName val="ﾌｧｲﾙ一覧"/>
      <sheetName val="帳票一覧"/>
      <sheetName val="ﾃﾞｰﾀ項目一覧"/>
      <sheetName val="プロセス"/>
      <sheetName val="コード表"/>
      <sheetName val="ＶＢ要件定義成果物"/>
      <sheetName val="指摘分類"/>
      <sheetName val="設定シート"/>
    </sheetNames>
    <sheetDataSet>
      <sheetData sheetId="0" refreshError="1">
        <row r="2">
          <cell r="B2" t="str">
            <v>共通（口振・振込）</v>
          </cell>
        </row>
        <row r="3">
          <cell r="B3" t="str">
            <v>共通（口振）</v>
          </cell>
        </row>
        <row r="4">
          <cell r="B4" t="str">
            <v>共通（振込）</v>
          </cell>
        </row>
        <row r="5">
          <cell r="B5" t="str">
            <v>個社別</v>
          </cell>
        </row>
        <row r="6">
          <cell r="B6" t="str">
            <v>廃止・未使用</v>
          </cell>
        </row>
        <row r="7">
          <cell r="B7" t="str">
            <v>九州電力</v>
          </cell>
        </row>
        <row r="8">
          <cell r="B8" t="str">
            <v>西鉄・九電工</v>
          </cell>
        </row>
        <row r="9">
          <cell r="B9" t="str">
            <v>ＭＴ編集</v>
          </cell>
        </row>
        <row r="10">
          <cell r="B10" t="str">
            <v>ＦＡＸ－ＯＣＲ</v>
          </cell>
        </row>
        <row r="11">
          <cell r="B11" t="str">
            <v>トヨタ自動車</v>
          </cell>
        </row>
        <row r="12">
          <cell r="B12" t="str">
            <v>九工大</v>
          </cell>
        </row>
        <row r="13">
          <cell r="B13" t="str">
            <v>福岡県</v>
          </cell>
        </row>
        <row r="14">
          <cell r="B14" t="str">
            <v>福岡市</v>
          </cell>
        </row>
        <row r="15">
          <cell r="B15" t="str">
            <v>北九州市</v>
          </cell>
        </row>
        <row r="16">
          <cell r="B16" t="str">
            <v>長崎大学</v>
          </cell>
        </row>
        <row r="17">
          <cell r="B17" t="str">
            <v>九州医療センター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テーブル一覧"/>
      <sheetName val="Ｅ００１"/>
      <sheetName val="Ｅ００２"/>
      <sheetName val="Ｅ００３"/>
      <sheetName val="Ｅ００４"/>
      <sheetName val="Ｅ００５"/>
      <sheetName val="Ｅ００６"/>
      <sheetName val="参照"/>
      <sheetName val="メソッド定義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27">
          <cell r="C27" t="str">
            <v>CHAR</v>
          </cell>
        </row>
        <row r="28">
          <cell r="C28" t="str">
            <v>ＶＡＲＣＨＡＲ</v>
          </cell>
        </row>
        <row r="29">
          <cell r="C29" t="str">
            <v>ＧＲＡＰＨＩＣ</v>
          </cell>
        </row>
        <row r="30">
          <cell r="C30" t="str">
            <v>ＳＭＡＬＬＩＮＴ</v>
          </cell>
        </row>
        <row r="31">
          <cell r="C31" t="str">
            <v>ＩＮＴＥＧＥＲ</v>
          </cell>
        </row>
        <row r="32">
          <cell r="C32" t="str">
            <v>DEＣＩＭＡＬ</v>
          </cell>
        </row>
        <row r="33">
          <cell r="C33" t="str">
            <v>ＤＡＴＥ</v>
          </cell>
        </row>
        <row r="34">
          <cell r="C34" t="str">
            <v>ＴＩＭＥ</v>
          </cell>
        </row>
        <row r="35">
          <cell r="C35" t="str">
            <v>ＴＩＭＥＳＴＡＭＰ</v>
          </cell>
        </row>
        <row r="36">
          <cell r="C36" t="str">
            <v>ＣＬＯＢ</v>
          </cell>
        </row>
        <row r="37">
          <cell r="C37" t="str">
            <v>ＤＢＣＬＯＢ</v>
          </cell>
        </row>
        <row r="38">
          <cell r="C38" t="str">
            <v>ＢＬＯＢ</v>
          </cell>
        </row>
        <row r="39">
          <cell r="C39" t="str">
            <v>ＤＡＴＡＬＩＮＫ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1A91-807F-4E88-BA22-3461C5BE5301}">
  <dimension ref="A1:I18"/>
  <sheetViews>
    <sheetView tabSelected="1" zoomScale="85" zoomScaleNormal="85" workbookViewId="0">
      <pane ySplit="1" topLeftCell="A11" activePane="bottomLeft" state="frozen"/>
      <selection pane="bottomLeft" activeCell="H17" sqref="H17"/>
    </sheetView>
  </sheetViews>
  <sheetFormatPr baseColWidth="10" defaultColWidth="8.6640625" defaultRowHeight="15"/>
  <cols>
    <col min="1" max="1" width="5" style="3" customWidth="1"/>
    <col min="2" max="2" width="13" style="3" customWidth="1"/>
    <col min="3" max="3" width="9.6640625" style="3" bestFit="1" customWidth="1"/>
    <col min="4" max="4" width="22.83203125" style="3" customWidth="1"/>
    <col min="5" max="5" width="34.5" style="3" customWidth="1"/>
    <col min="6" max="6" width="11.6640625" style="3" bestFit="1" customWidth="1"/>
    <col min="7" max="7" width="85.1640625" style="3" customWidth="1"/>
    <col min="8" max="8" width="21.5" style="3" bestFit="1" customWidth="1"/>
    <col min="9" max="9" width="23.1640625" style="3" customWidth="1"/>
    <col min="10" max="16384" width="8.6640625" style="3"/>
  </cols>
  <sheetData>
    <row r="1" spans="1:9">
      <c r="A1" s="2" t="s">
        <v>0</v>
      </c>
      <c r="B1" s="2" t="s">
        <v>36</v>
      </c>
      <c r="C1" s="2" t="s">
        <v>1</v>
      </c>
      <c r="D1" s="2" t="s">
        <v>4</v>
      </c>
      <c r="E1" s="2" t="s">
        <v>37</v>
      </c>
      <c r="F1" s="2" t="s">
        <v>29</v>
      </c>
      <c r="G1" s="2" t="s">
        <v>18</v>
      </c>
      <c r="H1" s="2" t="s">
        <v>2</v>
      </c>
    </row>
    <row r="2" spans="1:9" ht="64">
      <c r="A2" s="4">
        <f t="shared" ref="A2:A18" si="0">ROW()-1</f>
        <v>1</v>
      </c>
      <c r="B2" s="5" t="s">
        <v>8</v>
      </c>
      <c r="C2" s="7" t="s">
        <v>38</v>
      </c>
      <c r="D2" s="5" t="s">
        <v>35</v>
      </c>
      <c r="E2" s="7" t="s">
        <v>39</v>
      </c>
      <c r="F2" s="7" t="s">
        <v>34</v>
      </c>
      <c r="G2" s="5" t="s">
        <v>66</v>
      </c>
      <c r="H2" s="5" t="s">
        <v>14</v>
      </c>
      <c r="I2" s="3" t="str">
        <f>B2&amp;C2&amp;D2&amp;E2&amp;F2&amp;H2&amp;G2</f>
        <v xml:space="preserve">7月2名S/4 HANA パブクラ導入案件SVF Ｃloud帳票開発PG都内（週1出社）・SVF Ｃloudを用いた帳票設計・開発経験
・帳票レイアウト設計、帳票要件定義の経験
・SQLによるデータ抽出・加工スキル
</v>
      </c>
    </row>
    <row r="3" spans="1:9" ht="48">
      <c r="A3" s="4">
        <f t="shared" si="0"/>
        <v>2</v>
      </c>
      <c r="B3" s="5" t="s">
        <v>8</v>
      </c>
      <c r="C3" s="7" t="s">
        <v>40</v>
      </c>
      <c r="D3" s="5" t="s">
        <v>10</v>
      </c>
      <c r="E3" s="5" t="s">
        <v>41</v>
      </c>
      <c r="F3" s="7" t="s">
        <v>31</v>
      </c>
      <c r="G3" s="5" t="s">
        <v>67</v>
      </c>
      <c r="H3" s="5" t="s">
        <v>42</v>
      </c>
      <c r="I3" s="3" t="str">
        <f t="shared" ref="I3:I18" si="1">B3&amp;C3&amp;D3&amp;E3&amp;F3&amp;H3&amp;G3</f>
        <v xml:space="preserve">7月5名SAP刷新案件SD/MM/PP の概要設計者SE原則オンサイト（京都、もしくは豊洲）・SD/MM/PPのいずれのモジュールに関する概要設計経験
・関係者（業務／開発）との調整・コミュニケーション能力
</v>
      </c>
    </row>
    <row r="4" spans="1:9" ht="48">
      <c r="A4" s="4">
        <f t="shared" si="0"/>
        <v>3</v>
      </c>
      <c r="B4" s="5" t="s">
        <v>8</v>
      </c>
      <c r="C4" s="7" t="s">
        <v>40</v>
      </c>
      <c r="D4" s="5" t="s">
        <v>10</v>
      </c>
      <c r="E4" s="5" t="s">
        <v>43</v>
      </c>
      <c r="F4" s="7" t="s">
        <v>34</v>
      </c>
      <c r="G4" s="5" t="s">
        <v>68</v>
      </c>
      <c r="H4" s="5" t="s">
        <v>42</v>
      </c>
      <c r="I4" s="3" t="str">
        <f t="shared" si="1"/>
        <v xml:space="preserve">7月5名SAP刷新案件開発者（ABAP、CDS-View、Fiori、の技術者）PG原則オンサイト（京都、もしくは豊洲）・ABAP開発経験6年以上
・CDS-View、Fioriの開発が得意な方
</v>
      </c>
    </row>
    <row r="5" spans="1:9" ht="208">
      <c r="A5" s="4">
        <f t="shared" si="0"/>
        <v>4</v>
      </c>
      <c r="B5" s="5" t="s">
        <v>44</v>
      </c>
      <c r="C5" s="7" t="s">
        <v>15</v>
      </c>
      <c r="D5" s="5" t="s">
        <v>45</v>
      </c>
      <c r="E5" s="5" t="s">
        <v>46</v>
      </c>
      <c r="F5" s="7" t="s">
        <v>30</v>
      </c>
      <c r="G5" s="5" t="s">
        <v>72</v>
      </c>
      <c r="H5" s="5" t="s">
        <v>47</v>
      </c>
      <c r="I5" s="3" t="str">
        <f t="shared" si="1"/>
        <v xml:space="preserve">8月2名運用保守案件の改善活動SDコンサル(ミドル以上)　1名
MMコンサル(ミドル以上)　1名
コンサル都内（週1出社）、たまに出張する可能性ある&lt;概要&gt;
「在庫適正化」をテーマとした要件定義を担当
具体的には、SAP外（周辺システム）で個別管理されている在庫業務をSAPに集約し、
業務標準化を図るとともに、SAP標準機能の活用を基本とし、
不足部分についてはアドオン開発により実現する方針で検討・整理を実施。
&lt;スキル&gt;
・SAPにおける要件定義フェーズの実務経験（業務分析、Fit&amp;Gap推進含む）
・顧客業務の理解を踏まえた要件整理および業務調整（折衝）スキル
・在庫引当、受注、発注等を含む在庫管理領域の業務知識
・関係者との合意形成をリードできるコミュニケーション能力
・課題に対して主体的に動き、解決まで推進できる実行力
</v>
      </c>
    </row>
    <row r="6" spans="1:9" ht="176">
      <c r="A6" s="4">
        <f t="shared" si="0"/>
        <v>5</v>
      </c>
      <c r="B6" s="5" t="s">
        <v>44</v>
      </c>
      <c r="C6" s="7" t="s">
        <v>15</v>
      </c>
      <c r="D6" s="5" t="s">
        <v>48</v>
      </c>
      <c r="E6" s="5" t="s">
        <v>49</v>
      </c>
      <c r="F6" s="7" t="s">
        <v>34</v>
      </c>
      <c r="G6" s="5" t="s">
        <v>69</v>
      </c>
      <c r="H6" s="5" t="s">
        <v>50</v>
      </c>
      <c r="I6" s="3" t="str">
        <f t="shared" si="1"/>
        <v xml:space="preserve">8月2名S/4 HANA 導入案件BDC開発者
(SAP Business Data Cloud)PG都内（週2出社）■ 必須スキル
・SAP Datasphere（またはDWC）での設計／開発経験
・データモデリング経験（Fact/Dimension設計など）
・データ統合に関する知見（SAP／非SAP連携）
■ 尚可スキル
・SAP Analytics Cloud（SAC）の使用経験
・Databricks／Pythonによるデータ分析・AI経験
・SAP BTPの理解
・S/4HANAのデータ構造理解（CDS View等）
</v>
      </c>
    </row>
    <row r="7" spans="1:9" ht="113" customHeight="1">
      <c r="A7" s="4">
        <f t="shared" si="0"/>
        <v>6</v>
      </c>
      <c r="B7" s="5" t="s">
        <v>8</v>
      </c>
      <c r="C7" s="7" t="s">
        <v>9</v>
      </c>
      <c r="D7" s="5" t="s">
        <v>51</v>
      </c>
      <c r="E7" s="7" t="s">
        <v>52</v>
      </c>
      <c r="F7" s="7" t="s">
        <v>30</v>
      </c>
      <c r="G7" s="5" t="s">
        <v>53</v>
      </c>
      <c r="H7" s="5" t="s">
        <v>54</v>
      </c>
      <c r="I7" s="3" t="str">
        <f t="shared" si="1"/>
        <v>7月1名大阪（エネルギー）
S/4 HANA 導入案件FI　シニアコンサルタントコンサルお客様オフィス/都内勤務
（リモート要相談）S4導入済み（FI-GLのみ）
FI-AP,AR領域について現行HOSTを利用しており、SAPへ移管する。
現在プロトフェーズ：Fit&amp;Gap実施済で課題消込＆To-BEフロー作成、SAPへ落込み。
すでに弊社FIシニアコンサルタントが参画しており、並列で稼働して頂く想定。
スキル充分あれば月0.5工数程度、参画時以外は基本リモートでの契約も可</v>
      </c>
    </row>
    <row r="8" spans="1:9" ht="53" customHeight="1">
      <c r="A8" s="4">
        <f t="shared" si="0"/>
        <v>7</v>
      </c>
      <c r="B8" s="5" t="s">
        <v>8</v>
      </c>
      <c r="C8" s="7" t="s">
        <v>15</v>
      </c>
      <c r="D8" s="5" t="s">
        <v>55</v>
      </c>
      <c r="E8" s="5" t="s">
        <v>56</v>
      </c>
      <c r="F8" s="7" t="s">
        <v>30</v>
      </c>
      <c r="G8" s="5" t="s">
        <v>57</v>
      </c>
      <c r="H8" s="5" t="s">
        <v>58</v>
      </c>
      <c r="I8" s="3" t="str">
        <f t="shared" si="1"/>
        <v>7月2名大阪-製造業
SAP運用保守案件MM ミドルコンサルタント　
コンサル原則オンサイト（都内）、ハイブリットで対応できる方調達チームの支援。
領域は「MM:在庫購買（MRP（資材所要量計画）の理解、経験値重視）」
ABAPプログラムの調査も可の方、コミュニケーション重視</v>
      </c>
    </row>
    <row r="9" spans="1:9" ht="64.5" customHeight="1">
      <c r="A9" s="4">
        <f t="shared" si="0"/>
        <v>8</v>
      </c>
      <c r="B9" s="5" t="s">
        <v>8</v>
      </c>
      <c r="C9" s="7" t="s">
        <v>9</v>
      </c>
      <c r="D9" s="5" t="s">
        <v>55</v>
      </c>
      <c r="E9" s="5" t="s">
        <v>59</v>
      </c>
      <c r="F9" s="5" t="s">
        <v>60</v>
      </c>
      <c r="G9" s="5" t="s">
        <v>71</v>
      </c>
      <c r="H9" s="5" t="s">
        <v>58</v>
      </c>
      <c r="I9" s="3" t="str">
        <f t="shared" si="1"/>
        <v xml:space="preserve">7月1名大阪-製造業
SAP運用保守案件CO ジュニアコンサルタントコンサル
(ジュニア可)原則オンサイト（都内）、ハイブリットで対応できる方原価チームの支援。　
領域は「CO：管理会計（CO-PC 製造原価を重視）」
標準が分かっている、かつ、単独で作業できる方
ABAPプログラムの調査も可の方、コミュニケーション重視
</v>
      </c>
    </row>
    <row r="10" spans="1:9" ht="138" customHeight="1">
      <c r="A10" s="4">
        <f t="shared" si="0"/>
        <v>9</v>
      </c>
      <c r="B10" s="5" t="s">
        <v>8</v>
      </c>
      <c r="C10" s="7" t="s">
        <v>9</v>
      </c>
      <c r="D10" s="5" t="s">
        <v>55</v>
      </c>
      <c r="E10" s="5" t="s">
        <v>61</v>
      </c>
      <c r="F10" s="5" t="s">
        <v>60</v>
      </c>
      <c r="G10" s="5" t="s">
        <v>70</v>
      </c>
      <c r="H10" s="5" t="s">
        <v>58</v>
      </c>
      <c r="I10" s="3" t="str">
        <f t="shared" si="1"/>
        <v>7月1名大阪-製造業
SAP運用保守案件PPジュニアコンサルタントコンサル
(ジュニア可)原則オンサイト（都内）、ハイブリットで対応できる方生産管理チームの支援。　
領域は「PP：生産管理」及び「PP/PS：生産計画」
標準が分かっている、かつ、単独で作業できる方
ABAPプログラムの調査も可の方、コミュニケーション重視</v>
      </c>
    </row>
    <row r="11" spans="1:9" ht="54" customHeight="1">
      <c r="A11" s="4">
        <f t="shared" si="0"/>
        <v>10</v>
      </c>
      <c r="B11" s="5" t="s">
        <v>8</v>
      </c>
      <c r="C11" s="7" t="s">
        <v>9</v>
      </c>
      <c r="D11" s="5" t="s">
        <v>55</v>
      </c>
      <c r="E11" s="5" t="s">
        <v>62</v>
      </c>
      <c r="F11" s="7" t="s">
        <v>30</v>
      </c>
      <c r="G11" s="5" t="s">
        <v>63</v>
      </c>
      <c r="H11" s="5" t="s">
        <v>58</v>
      </c>
      <c r="I11" s="3" t="str">
        <f t="shared" si="1"/>
        <v>7月1名大阪-製造業
SAP運用保守案件SDミドルコンサルタント
※既存案件巻取りコンサル原則オンサイト（都内）、ハイブリットで対応できる方販売管理領域の保守巻取り支援。
業務フロー作成、業務・システム内容把握、整理。
ABAPプログラムの調査も可の方、コミュニケーション重視</v>
      </c>
    </row>
    <row r="12" spans="1:9" ht="100.5" customHeight="1">
      <c r="A12" s="4">
        <f t="shared" si="0"/>
        <v>11</v>
      </c>
      <c r="B12" s="5" t="s">
        <v>8</v>
      </c>
      <c r="C12" s="7" t="s">
        <v>38</v>
      </c>
      <c r="D12" s="7" t="s">
        <v>16</v>
      </c>
      <c r="E12" s="8" t="s">
        <v>22</v>
      </c>
      <c r="F12" s="5" t="s">
        <v>31</v>
      </c>
      <c r="G12" s="5" t="s">
        <v>32</v>
      </c>
      <c r="H12" s="5" t="s">
        <v>17</v>
      </c>
      <c r="I12" s="3" t="str">
        <f t="shared" si="1"/>
        <v xml:space="preserve">7月2名食品業運用保守会計上流SE1名、ロジ上流1名SE横浜（フル出社）
慣れてくれば、週3回程度には減らせる・上流SE以上の業務知識
・ユーザからの問合せを自立して受け、調査・回答まで完結できること
・標準機能・アドオン双方を踏まえた適切な切り分けおよび対応方針の判断
・問合せ対応において、単一視点ではなく複合的な観点から調査・検討したうえで判断・回答
・基礎的な問合せにとどまらず、通常問合せについては自己完結を基本とし、リーダーレビュー依存を避ける
・受け身ではなく、積極的に仕事をとりに行く姿勢
</v>
      </c>
    </row>
    <row r="13" spans="1:9" ht="118" customHeight="1">
      <c r="A13" s="4">
        <f t="shared" si="0"/>
        <v>12</v>
      </c>
      <c r="B13" s="5" t="s">
        <v>8</v>
      </c>
      <c r="C13" s="7" t="s">
        <v>9</v>
      </c>
      <c r="D13" s="7" t="s">
        <v>16</v>
      </c>
      <c r="E13" s="8" t="s">
        <v>23</v>
      </c>
      <c r="F13" s="5" t="s">
        <v>33</v>
      </c>
      <c r="G13" s="5" t="s">
        <v>24</v>
      </c>
      <c r="H13" s="5" t="s">
        <v>17</v>
      </c>
      <c r="I13" s="3" t="str">
        <f t="shared" si="1"/>
        <v>7月1名食品業運用保守開発リーダーTL横浜（フル出社）
慣れてくれば、週3回程度には減らせる・コンサルタントが整理した要件を正確に理解し、開発メンバーへ適切に展開できること
・要件内容・設計方針について、開発観点で補完・調整しながらメンバーへ落とし込む力
・開発メンバーからの課題・疑問に対して自立して調査し、技術的な支援・方向性提示ができること
・標準機能およびアドオン双方を踏まえ、適切な実装方針や対応策を判断できること
・開発メンバーへのタスクアサイン、進捗管理、品質管理を実施できること
・成果物レビューを通じて、設計・開発内容の妥当性および品質を担保できること
・コンサルタントと開発メンバーの間に立ち、要件・仕様・課題に関する認識齟齬を調整できること
・受け身ではなく、プロジェクト全体を意識し、先回りで対応・推進できるリーダーシップを有すること</v>
      </c>
    </row>
    <row r="14" spans="1:9" ht="56" customHeight="1">
      <c r="A14" s="4">
        <f t="shared" si="0"/>
        <v>13</v>
      </c>
      <c r="B14" s="5" t="s">
        <v>44</v>
      </c>
      <c r="C14" s="7" t="s">
        <v>9</v>
      </c>
      <c r="D14" s="5" t="s">
        <v>10</v>
      </c>
      <c r="E14" s="7" t="s">
        <v>19</v>
      </c>
      <c r="F14" s="5" t="s">
        <v>34</v>
      </c>
      <c r="G14" s="5" t="s">
        <v>20</v>
      </c>
      <c r="H14" s="5" t="s">
        <v>21</v>
      </c>
      <c r="I14" s="3" t="str">
        <f t="shared" si="1"/>
        <v>8月1名SAP刷新案件Snowflake開発メンバーPG週3程度で日本橋にオンサイト・Snowflakeに関する開発経験
・SQL・DWH・クラウドをベースに、Snowflake特有のデータ基盤設計およびデータパイプライン構築スキルが求められる</v>
      </c>
    </row>
    <row r="15" spans="1:9" ht="54.5" customHeight="1">
      <c r="A15" s="4">
        <f t="shared" si="0"/>
        <v>14</v>
      </c>
      <c r="B15" s="5" t="s">
        <v>44</v>
      </c>
      <c r="C15" s="7" t="s">
        <v>9</v>
      </c>
      <c r="D15" s="5" t="s">
        <v>10</v>
      </c>
      <c r="E15" s="7" t="s">
        <v>64</v>
      </c>
      <c r="F15" s="5" t="s">
        <v>31</v>
      </c>
      <c r="G15" s="5" t="s">
        <v>65</v>
      </c>
      <c r="H15" s="5" t="s">
        <v>21</v>
      </c>
      <c r="I15" s="3" t="str">
        <f t="shared" si="1"/>
        <v>8月1名SAP刷新案件BTP要員(シニアレベル)SE週3程度で日本橋にオンサイト・BTPに関する開発経験
・調査フェーズよりの参画
・Integration Suiteに関する知見は必須</v>
      </c>
    </row>
    <row r="16" spans="1:9" ht="105" customHeight="1">
      <c r="A16" s="4">
        <f t="shared" si="0"/>
        <v>15</v>
      </c>
      <c r="B16" s="5" t="s">
        <v>8</v>
      </c>
      <c r="C16" s="7" t="s">
        <v>9</v>
      </c>
      <c r="D16" s="5" t="s">
        <v>11</v>
      </c>
      <c r="E16" s="5" t="s">
        <v>12</v>
      </c>
      <c r="F16" s="5" t="s">
        <v>30</v>
      </c>
      <c r="G16" s="6" t="s">
        <v>25</v>
      </c>
      <c r="H16" s="5" t="s">
        <v>13</v>
      </c>
      <c r="I16" s="3" t="str">
        <f t="shared" si="1"/>
        <v>7月1名S/4HANA導入中案件の顧客側支援・運用保守（FI領域）FIコンサル（ミドル、ジュニアクラス）コンサル原則オンサイト（山手線の品川近辺の駅）・要件定義（業務フロー・要件定義書・課題整理資料等）資料の理解・修正ができる
　　　・要件定義書をもとにベンダー作成の基本設計書のレビューができる
　　　・伝票入力、マスタ類、カスタマイズなどについて経験・理解できる
　　　※会計の中で業績（BW）要件もあるため、そのあたりの整理についても経験があれば尚◎
　　　※アドオン設計経験は必要。実装経験はMUSTではないです。
　　　※開発の経験あればベター
　　　※コミュニケーション力重視（外国籍はかなり日本語が流暢ではないと厳しい）</v>
      </c>
    </row>
    <row r="17" spans="1:9" ht="77.5" customHeight="1">
      <c r="A17" s="4">
        <f t="shared" si="0"/>
        <v>16</v>
      </c>
      <c r="B17" s="5" t="s">
        <v>8</v>
      </c>
      <c r="C17" s="7" t="s">
        <v>9</v>
      </c>
      <c r="D17" s="1" t="s">
        <v>26</v>
      </c>
      <c r="E17" s="1" t="s">
        <v>27</v>
      </c>
      <c r="F17" s="5" t="s">
        <v>30</v>
      </c>
      <c r="G17" s="1" t="s">
        <v>28</v>
      </c>
      <c r="H17" s="1" t="s">
        <v>3</v>
      </c>
      <c r="I17" s="3" t="str">
        <f t="shared" si="1"/>
        <v>7月1名S/4HANA導入中案件の顧客側支援・運用保守（SD領域）SDコンサル（ミドル、ジュニアクラス）コンサル原則オンサイト（山手線沿線）・伝票入力、マスタ類、カスタマイズは対応可能
　　　・問い合わせ、障害チケットに対しての対応案策定可能
　　　※アドオン設計経験（特にI/F）は必要。実装経験はMUSTではないです。
　　　※運用保守の経験
　　　※コミュニケーション力重視（外国籍はかなり日本語が流暢ではないと厳しい)</v>
      </c>
    </row>
    <row r="18" spans="1:9" ht="96">
      <c r="A18" s="4">
        <f t="shared" si="0"/>
        <v>17</v>
      </c>
      <c r="B18" s="5" t="s">
        <v>8</v>
      </c>
      <c r="C18" s="7" t="s">
        <v>9</v>
      </c>
      <c r="D18" s="5" t="s">
        <v>6</v>
      </c>
      <c r="E18" s="5" t="s">
        <v>5</v>
      </c>
      <c r="F18" s="5" t="s">
        <v>31</v>
      </c>
      <c r="G18" s="5" t="s">
        <v>7</v>
      </c>
      <c r="H18" s="5" t="s">
        <v>3</v>
      </c>
      <c r="I18" s="3" t="str">
        <f t="shared" si="1"/>
        <v xml:space="preserve">7月1名保守対応中案件Fioriの環境統合に伴う対応要員SE原則オンサイト（山手線沿線）Fioriでの権限設定、タイル設定の経験(カタログ設定画面等が迷わず操作できること)
Fioriで管理するオブジェクトの知識(タイルの仕組みが最低限把握できていること)
SAP権限対応経験者
　　作業： ①Fiori統合に伴うS/4環境への移管実作業
　　　　　②その他EoL作業（WebGui実装作業（切り替えによる変化点対応））
</v>
      </c>
    </row>
  </sheetData>
  <phoneticPr fontId="3"/>
  <pageMargins left="0.5" right="0.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一覧</vt:lpstr>
      <vt:lpstr>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nomaaya</cp:lastModifiedBy>
  <dcterms:created xsi:type="dcterms:W3CDTF">2026-04-09T10:30:18Z</dcterms:created>
  <dcterms:modified xsi:type="dcterms:W3CDTF">2026-06-11T11:26:06Z</dcterms:modified>
</cp:coreProperties>
</file>